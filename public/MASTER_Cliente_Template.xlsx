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C273A2E1-C41D-4B29-9183-30D4F7AF82F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heck List" sheetId="1" r:id="rId1"/>
    <sheet name="Infromacion General " sheetId="2" r:id="rId2"/>
    <sheet name="Flujos" sheetId="3" r:id="rId3"/>
    <sheet name="Estados Financieros" sheetId="4" r:id="rId4"/>
    <sheet name="Hoja1" sheetId="5" r:id="rId5"/>
    <sheet name="Analisi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VD7nUhJzHqcTGe9SQLq4SvIXnXw=="/>
    </ext>
  </extLst>
</workbook>
</file>

<file path=xl/calcChain.xml><?xml version="1.0" encoding="utf-8"?>
<calcChain xmlns="http://schemas.openxmlformats.org/spreadsheetml/2006/main">
  <c r="C16" i="5" l="1"/>
  <c r="C15" i="5"/>
  <c r="J2" i="6"/>
  <c r="J1" i="6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D12" i="5"/>
  <c r="C12" i="5"/>
  <c r="D11" i="5"/>
  <c r="C11" i="5"/>
  <c r="D10" i="5"/>
  <c r="C10" i="5"/>
  <c r="E8" i="5"/>
  <c r="D8" i="5"/>
  <c r="C8" i="5"/>
  <c r="E7" i="5"/>
  <c r="D7" i="5"/>
  <c r="C7" i="5"/>
  <c r="E4" i="5"/>
  <c r="D4" i="5"/>
  <c r="C4" i="5"/>
  <c r="C47" i="4"/>
  <c r="C41" i="5" s="1"/>
  <c r="H44" i="4"/>
  <c r="F44" i="4"/>
  <c r="D44" i="4"/>
  <c r="H43" i="4"/>
  <c r="F43" i="4"/>
  <c r="D43" i="4"/>
  <c r="H41" i="4"/>
  <c r="F41" i="4"/>
  <c r="D41" i="4"/>
  <c r="J40" i="4"/>
  <c r="H40" i="4"/>
  <c r="F40" i="4"/>
  <c r="D40" i="4"/>
  <c r="M39" i="4"/>
  <c r="L39" i="4"/>
  <c r="K39" i="4"/>
  <c r="J39" i="4"/>
  <c r="H39" i="4"/>
  <c r="F39" i="4"/>
  <c r="D39" i="4"/>
  <c r="M38" i="4"/>
  <c r="L38" i="4"/>
  <c r="K38" i="4"/>
  <c r="J38" i="4"/>
  <c r="C38" i="4"/>
  <c r="C42" i="4" s="1"/>
  <c r="M37" i="4"/>
  <c r="L37" i="4"/>
  <c r="K37" i="4"/>
  <c r="J37" i="4"/>
  <c r="H37" i="4"/>
  <c r="F37" i="4"/>
  <c r="D37" i="4"/>
  <c r="M36" i="4"/>
  <c r="L36" i="4"/>
  <c r="K36" i="4"/>
  <c r="J36" i="4"/>
  <c r="G36" i="4"/>
  <c r="G38" i="4" s="1"/>
  <c r="E36" i="4"/>
  <c r="E38" i="4" s="1"/>
  <c r="D36" i="4"/>
  <c r="C36" i="4"/>
  <c r="H35" i="4"/>
  <c r="F35" i="4"/>
  <c r="D35" i="4"/>
  <c r="M34" i="4"/>
  <c r="L34" i="4"/>
  <c r="K34" i="4"/>
  <c r="H30" i="4"/>
  <c r="F30" i="4"/>
  <c r="D30" i="4"/>
  <c r="H29" i="4"/>
  <c r="F29" i="4"/>
  <c r="D29" i="4"/>
  <c r="G28" i="4"/>
  <c r="E16" i="5" s="1"/>
  <c r="E28" i="4"/>
  <c r="D16" i="5" s="1"/>
  <c r="C28" i="4"/>
  <c r="C14" i="5" s="1"/>
  <c r="H26" i="4"/>
  <c r="F26" i="4"/>
  <c r="D26" i="4"/>
  <c r="H24" i="4"/>
  <c r="F24" i="4"/>
  <c r="D24" i="4"/>
  <c r="M23" i="4"/>
  <c r="L23" i="4"/>
  <c r="J23" i="4"/>
  <c r="H23" i="4"/>
  <c r="F23" i="4"/>
  <c r="D23" i="4"/>
  <c r="M22" i="4"/>
  <c r="L22" i="4"/>
  <c r="K22" i="4"/>
  <c r="J22" i="4"/>
  <c r="H22" i="4"/>
  <c r="F22" i="4"/>
  <c r="D22" i="4"/>
  <c r="M21" i="4"/>
  <c r="L21" i="4"/>
  <c r="K21" i="4"/>
  <c r="J21" i="4"/>
  <c r="M20" i="4"/>
  <c r="L20" i="4"/>
  <c r="K20" i="4"/>
  <c r="G20" i="4"/>
  <c r="E20" i="4"/>
  <c r="D17" i="5" s="1"/>
  <c r="C20" i="4"/>
  <c r="H19" i="4"/>
  <c r="F19" i="4"/>
  <c r="D19" i="4"/>
  <c r="H17" i="4"/>
  <c r="F17" i="4"/>
  <c r="D17" i="4"/>
  <c r="H16" i="4"/>
  <c r="F16" i="4"/>
  <c r="D16" i="4"/>
  <c r="H15" i="4"/>
  <c r="F15" i="4"/>
  <c r="D15" i="4"/>
  <c r="H13" i="4"/>
  <c r="F13" i="4"/>
  <c r="D13" i="4"/>
  <c r="M12" i="4"/>
  <c r="L12" i="4"/>
  <c r="K12" i="4"/>
  <c r="J12" i="4"/>
  <c r="H12" i="4"/>
  <c r="F12" i="4"/>
  <c r="D12" i="4"/>
  <c r="M11" i="4"/>
  <c r="L11" i="4"/>
  <c r="K11" i="4"/>
  <c r="J11" i="4"/>
  <c r="H11" i="4"/>
  <c r="F11" i="4"/>
  <c r="D11" i="4"/>
  <c r="M10" i="4"/>
  <c r="L10" i="4"/>
  <c r="K10" i="4"/>
  <c r="J10" i="4"/>
  <c r="M9" i="4"/>
  <c r="L9" i="4"/>
  <c r="K9" i="4"/>
  <c r="J9" i="4"/>
  <c r="M8" i="4"/>
  <c r="L8" i="4"/>
  <c r="K8" i="4"/>
  <c r="G7" i="4"/>
  <c r="E12" i="5" s="1"/>
  <c r="L5" i="4"/>
  <c r="J55" i="3"/>
  <c r="I55" i="3"/>
  <c r="H55" i="3"/>
  <c r="F55" i="3"/>
  <c r="N55" i="3" s="1"/>
  <c r="F37" i="5" s="1"/>
  <c r="C55" i="3"/>
  <c r="B55" i="3"/>
  <c r="E54" i="3"/>
  <c r="D54" i="3"/>
  <c r="C54" i="3"/>
  <c r="B54" i="3"/>
  <c r="I53" i="3"/>
  <c r="H53" i="3"/>
  <c r="F53" i="3"/>
  <c r="E53" i="3"/>
  <c r="M53" i="3" s="1"/>
  <c r="E35" i="5" s="1"/>
  <c r="C53" i="3"/>
  <c r="B53" i="3"/>
  <c r="J52" i="3"/>
  <c r="I52" i="3"/>
  <c r="C52" i="3"/>
  <c r="B52" i="3"/>
  <c r="D51" i="3"/>
  <c r="C51" i="3"/>
  <c r="B51" i="3"/>
  <c r="J50" i="3"/>
  <c r="I50" i="3"/>
  <c r="H50" i="3"/>
  <c r="F50" i="3"/>
  <c r="N50" i="3" s="1"/>
  <c r="F32" i="5" s="1"/>
  <c r="C50" i="3"/>
  <c r="B50" i="3"/>
  <c r="J49" i="3"/>
  <c r="D49" i="3"/>
  <c r="C49" i="3"/>
  <c r="B49" i="3"/>
  <c r="H48" i="3"/>
  <c r="C48" i="3"/>
  <c r="B48" i="3"/>
  <c r="J47" i="3"/>
  <c r="I47" i="3"/>
  <c r="H47" i="3"/>
  <c r="F47" i="3"/>
  <c r="N47" i="3" s="1"/>
  <c r="F29" i="5" s="1"/>
  <c r="C47" i="3"/>
  <c r="B47" i="3"/>
  <c r="E46" i="3"/>
  <c r="D46" i="3"/>
  <c r="C46" i="3"/>
  <c r="B46" i="3"/>
  <c r="I45" i="3"/>
  <c r="H45" i="3"/>
  <c r="F45" i="3"/>
  <c r="E45" i="3"/>
  <c r="M45" i="3" s="1"/>
  <c r="E27" i="5" s="1"/>
  <c r="C45" i="3"/>
  <c r="B45" i="3"/>
  <c r="J44" i="3"/>
  <c r="I44" i="3"/>
  <c r="C44" i="3"/>
  <c r="B44" i="3"/>
  <c r="N36" i="3"/>
  <c r="M36" i="3"/>
  <c r="L36" i="3"/>
  <c r="J36" i="3"/>
  <c r="I36" i="3"/>
  <c r="H36" i="3"/>
  <c r="F36" i="3"/>
  <c r="R36" i="3" s="1"/>
  <c r="E36" i="3"/>
  <c r="D36" i="3"/>
  <c r="R35" i="3"/>
  <c r="Q35" i="3"/>
  <c r="E55" i="3" s="1"/>
  <c r="M55" i="3" s="1"/>
  <c r="E37" i="5" s="1"/>
  <c r="P35" i="3"/>
  <c r="D55" i="3" s="1"/>
  <c r="L55" i="3" s="1"/>
  <c r="D37" i="5" s="1"/>
  <c r="C35" i="3"/>
  <c r="B35" i="3"/>
  <c r="R34" i="3"/>
  <c r="F54" i="3" s="1"/>
  <c r="Q34" i="3"/>
  <c r="P34" i="3"/>
  <c r="C34" i="3"/>
  <c r="B34" i="3"/>
  <c r="R33" i="3"/>
  <c r="Q33" i="3"/>
  <c r="P33" i="3"/>
  <c r="D53" i="3" s="1"/>
  <c r="L53" i="3" s="1"/>
  <c r="D35" i="5" s="1"/>
  <c r="C33" i="3"/>
  <c r="B33" i="3"/>
  <c r="R32" i="3"/>
  <c r="F52" i="3" s="1"/>
  <c r="N52" i="3" s="1"/>
  <c r="F34" i="5" s="1"/>
  <c r="Q32" i="3"/>
  <c r="E52" i="3" s="1"/>
  <c r="M52" i="3" s="1"/>
  <c r="E34" i="5" s="1"/>
  <c r="P32" i="3"/>
  <c r="D52" i="3" s="1"/>
  <c r="L52" i="3" s="1"/>
  <c r="D34" i="5" s="1"/>
  <c r="C32" i="3"/>
  <c r="B32" i="3"/>
  <c r="R31" i="3"/>
  <c r="F51" i="3" s="1"/>
  <c r="Q31" i="3"/>
  <c r="Q36" i="3" s="1"/>
  <c r="P31" i="3"/>
  <c r="C31" i="3"/>
  <c r="B31" i="3"/>
  <c r="R30" i="3"/>
  <c r="Q30" i="3"/>
  <c r="E50" i="3" s="1"/>
  <c r="M50" i="3" s="1"/>
  <c r="E32" i="5" s="1"/>
  <c r="P30" i="3"/>
  <c r="D50" i="3" s="1"/>
  <c r="L50" i="3" s="1"/>
  <c r="D32" i="5" s="1"/>
  <c r="C30" i="3"/>
  <c r="B30" i="3"/>
  <c r="R29" i="3"/>
  <c r="F49" i="3" s="1"/>
  <c r="N49" i="3" s="1"/>
  <c r="F31" i="5" s="1"/>
  <c r="Q29" i="3"/>
  <c r="E49" i="3" s="1"/>
  <c r="P29" i="3"/>
  <c r="C29" i="3"/>
  <c r="B29" i="3"/>
  <c r="R28" i="3"/>
  <c r="F48" i="3" s="1"/>
  <c r="N48" i="3" s="1"/>
  <c r="F30" i="5" s="1"/>
  <c r="Q28" i="3"/>
  <c r="E48" i="3" s="1"/>
  <c r="P28" i="3"/>
  <c r="D48" i="3" s="1"/>
  <c r="L48" i="3" s="1"/>
  <c r="D30" i="5" s="1"/>
  <c r="C28" i="3"/>
  <c r="B28" i="3"/>
  <c r="R27" i="3"/>
  <c r="Q27" i="3"/>
  <c r="E47" i="3" s="1"/>
  <c r="M47" i="3" s="1"/>
  <c r="E29" i="5" s="1"/>
  <c r="P27" i="3"/>
  <c r="D47" i="3" s="1"/>
  <c r="L47" i="3" s="1"/>
  <c r="D29" i="5" s="1"/>
  <c r="C27" i="3"/>
  <c r="B27" i="3"/>
  <c r="R26" i="3"/>
  <c r="F46" i="3" s="1"/>
  <c r="N46" i="3" s="1"/>
  <c r="F28" i="5" s="1"/>
  <c r="Q26" i="3"/>
  <c r="P26" i="3"/>
  <c r="C26" i="3"/>
  <c r="B26" i="3"/>
  <c r="R25" i="3"/>
  <c r="Q25" i="3"/>
  <c r="P25" i="3"/>
  <c r="D45" i="3" s="1"/>
  <c r="L45" i="3" s="1"/>
  <c r="D27" i="5" s="1"/>
  <c r="C25" i="3"/>
  <c r="B25" i="3"/>
  <c r="R24" i="3"/>
  <c r="F44" i="3" s="1"/>
  <c r="Q24" i="3"/>
  <c r="E44" i="3" s="1"/>
  <c r="P24" i="3"/>
  <c r="D44" i="3" s="1"/>
  <c r="C24" i="3"/>
  <c r="B24" i="3"/>
  <c r="N18" i="3"/>
  <c r="M18" i="3"/>
  <c r="L18" i="3"/>
  <c r="J18" i="3"/>
  <c r="I18" i="3"/>
  <c r="H18" i="3"/>
  <c r="F18" i="3"/>
  <c r="E18" i="3"/>
  <c r="D18" i="3"/>
  <c r="R17" i="3"/>
  <c r="Q17" i="3"/>
  <c r="P17" i="3"/>
  <c r="R16" i="3"/>
  <c r="J54" i="3" s="1"/>
  <c r="Q16" i="3"/>
  <c r="I54" i="3" s="1"/>
  <c r="M54" i="3" s="1"/>
  <c r="E36" i="5" s="1"/>
  <c r="P16" i="3"/>
  <c r="H54" i="3" s="1"/>
  <c r="L54" i="3" s="1"/>
  <c r="D36" i="5" s="1"/>
  <c r="R15" i="3"/>
  <c r="J53" i="3" s="1"/>
  <c r="Q15" i="3"/>
  <c r="P15" i="3"/>
  <c r="R14" i="3"/>
  <c r="Q14" i="3"/>
  <c r="P14" i="3"/>
  <c r="H52" i="3" s="1"/>
  <c r="R13" i="3"/>
  <c r="J51" i="3" s="1"/>
  <c r="Q13" i="3"/>
  <c r="I51" i="3" s="1"/>
  <c r="P13" i="3"/>
  <c r="H51" i="3" s="1"/>
  <c r="R12" i="3"/>
  <c r="Q12" i="3"/>
  <c r="P12" i="3"/>
  <c r="R11" i="3"/>
  <c r="Q11" i="3"/>
  <c r="I49" i="3" s="1"/>
  <c r="P11" i="3"/>
  <c r="H49" i="3" s="1"/>
  <c r="L49" i="3" s="1"/>
  <c r="D31" i="5" s="1"/>
  <c r="R10" i="3"/>
  <c r="J48" i="3" s="1"/>
  <c r="Q10" i="3"/>
  <c r="I48" i="3" s="1"/>
  <c r="P10" i="3"/>
  <c r="R9" i="3"/>
  <c r="Q9" i="3"/>
  <c r="P9" i="3"/>
  <c r="R8" i="3"/>
  <c r="J46" i="3" s="1"/>
  <c r="Q8" i="3"/>
  <c r="I46" i="3" s="1"/>
  <c r="M46" i="3" s="1"/>
  <c r="E28" i="5" s="1"/>
  <c r="P8" i="3"/>
  <c r="H46" i="3" s="1"/>
  <c r="L46" i="3" s="1"/>
  <c r="D28" i="5" s="1"/>
  <c r="R7" i="3"/>
  <c r="J45" i="3" s="1"/>
  <c r="Q7" i="3"/>
  <c r="P7" i="3"/>
  <c r="R6" i="3"/>
  <c r="Q6" i="3"/>
  <c r="P6" i="3"/>
  <c r="H44" i="3" s="1"/>
  <c r="Q63" i="2"/>
  <c r="F7" i="2"/>
  <c r="C2" i="2"/>
  <c r="M3" i="4" s="1"/>
  <c r="J56" i="3" l="1"/>
  <c r="L51" i="3"/>
  <c r="D33" i="5" s="1"/>
  <c r="N53" i="3"/>
  <c r="F35" i="5" s="1"/>
  <c r="N54" i="3"/>
  <c r="F36" i="5" s="1"/>
  <c r="G42" i="4"/>
  <c r="H38" i="4"/>
  <c r="E42" i="4"/>
  <c r="F38" i="4"/>
  <c r="M48" i="3"/>
  <c r="E30" i="5" s="1"/>
  <c r="N51" i="3"/>
  <c r="F33" i="5" s="1"/>
  <c r="I56" i="3"/>
  <c r="C45" i="4"/>
  <c r="D42" i="4"/>
  <c r="H56" i="3"/>
  <c r="E56" i="3"/>
  <c r="M44" i="3"/>
  <c r="D56" i="3"/>
  <c r="L44" i="3"/>
  <c r="N44" i="3"/>
  <c r="F56" i="3"/>
  <c r="M49" i="3"/>
  <c r="E31" i="5" s="1"/>
  <c r="N45" i="3"/>
  <c r="F27" i="5" s="1"/>
  <c r="E14" i="5"/>
  <c r="Q18" i="3"/>
  <c r="D38" i="4"/>
  <c r="E10" i="5"/>
  <c r="E11" i="5"/>
  <c r="R18" i="3"/>
  <c r="D14" i="5"/>
  <c r="D15" i="5" s="1"/>
  <c r="E51" i="3"/>
  <c r="M51" i="3" s="1"/>
  <c r="E33" i="5" s="1"/>
  <c r="F36" i="4"/>
  <c r="E17" i="5"/>
  <c r="H36" i="4"/>
  <c r="E15" i="5"/>
  <c r="C42" i="5"/>
  <c r="C43" i="5"/>
  <c r="C17" i="5"/>
  <c r="P18" i="3"/>
  <c r="P36" i="3"/>
  <c r="K23" i="4"/>
  <c r="F42" i="4" l="1"/>
  <c r="E45" i="4"/>
  <c r="H42" i="4"/>
  <c r="G45" i="4"/>
  <c r="E26" i="5"/>
  <c r="E38" i="5" s="1"/>
  <c r="M56" i="3"/>
  <c r="C20" i="5"/>
  <c r="K40" i="4"/>
  <c r="D45" i="4"/>
  <c r="C19" i="5"/>
  <c r="C21" i="5"/>
  <c r="D26" i="5"/>
  <c r="L56" i="3"/>
  <c r="N56" i="3"/>
  <c r="F26" i="5"/>
  <c r="F38" i="5" s="1"/>
  <c r="M40" i="4" l="1"/>
  <c r="E19" i="5"/>
  <c r="H45" i="4"/>
  <c r="E20" i="5"/>
  <c r="E21" i="5"/>
  <c r="D38" i="5"/>
  <c r="C44" i="5"/>
  <c r="D20" i="5"/>
  <c r="L40" i="4"/>
  <c r="D19" i="5"/>
  <c r="D21" i="5"/>
  <c r="F4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400-000006000000}">
      <text>
        <r>
          <rPr>
            <sz val="12"/>
            <color theme="1"/>
            <rFont val="Calibri"/>
          </rPr>
          <t>======
ID#AAAAIsyL0cU
Autor    (2021-06-08 20:50:12)
Activo Circulante / Pasivo Circulante</t>
        </r>
      </text>
    </comment>
    <comment ref="B8" authorId="0" shapeId="0" xr:uid="{00000000-0006-0000-0400-000001000000}">
      <text>
        <r>
          <rPr>
            <sz val="12"/>
            <color theme="1"/>
            <rFont val="Calibri"/>
          </rPr>
          <t>======
ID#AAAAIsyL0cs
Autor    (2021-06-08 20:50:12)
Activo Circulante - Inventario / Pasivo Circulante.</t>
        </r>
      </text>
    </comment>
    <comment ref="B10" authorId="0" shapeId="0" xr:uid="{00000000-0006-0000-0400-000008000000}">
      <text>
        <r>
          <rPr>
            <sz val="12"/>
            <color theme="1"/>
            <rFont val="Calibri"/>
          </rPr>
          <t>======
ID#AAAAIsyL0cQ
Autor    (2021-06-08 20:50:12)
Rotación de Cobros = Ventas Netas / Cuentas por Cobrar
Dias Cuentas x Cobrar = 365 / Rotación de Cobros</t>
        </r>
      </text>
    </comment>
    <comment ref="B11" authorId="0" shapeId="0" xr:uid="{00000000-0006-0000-0400-000003000000}">
      <text>
        <r>
          <rPr>
            <sz val="12"/>
            <color theme="1"/>
            <rFont val="Calibri"/>
          </rPr>
          <t>======
ID#AAAAIsyL0cg
Autor    (2021-06-08 20:50:12)
Proveedores / Costo de Venta * 360</t>
        </r>
      </text>
    </comment>
    <comment ref="B12" authorId="0" shapeId="0" xr:uid="{00000000-0006-0000-0400-00000A000000}">
      <text>
        <r>
          <rPr>
            <sz val="12"/>
            <color theme="1"/>
            <rFont val="Calibri"/>
          </rPr>
          <t>======
ID#AAAAIsyL0cE
Autor    (2021-06-08 20:50:12)
Inventarios / Costo de Ventas * 360</t>
        </r>
      </text>
    </comment>
    <comment ref="B14" authorId="0" shapeId="0" xr:uid="{00000000-0006-0000-0400-000004000000}">
      <text>
        <r>
          <rPr>
            <sz val="12"/>
            <color theme="1"/>
            <rFont val="Calibri"/>
          </rPr>
          <t>======
ID#AAAAIsyL0ck
Autor    (2021-06-08 20:50:12)
Pasivos Totales / Activos Totales</t>
        </r>
      </text>
    </comment>
    <comment ref="B16" authorId="0" shapeId="0" xr:uid="{00000000-0006-0000-0400-000007000000}">
      <text>
        <r>
          <rPr>
            <sz val="12"/>
            <color theme="1"/>
            <rFont val="Calibri"/>
          </rPr>
          <t>======
ID#AAAAIsyL0cY
Autor    (2021-06-08 20:50:12)
Pasivo Total / Capital Contable</t>
        </r>
      </text>
    </comment>
    <comment ref="B17" authorId="0" shapeId="0" xr:uid="{00000000-0006-0000-0400-000005000000}">
      <text>
        <r>
          <rPr>
            <sz val="12"/>
            <color theme="1"/>
            <rFont val="Calibri"/>
          </rPr>
          <t>======
ID#AAAAIsyL0cc
Autor    (2021-06-08 20:50:12)
Pasivo a Largo Plazo / Patrimonio Neto (Activos totales - Pasivos totales)</t>
        </r>
      </text>
    </comment>
    <comment ref="B19" authorId="0" shapeId="0" xr:uid="{00000000-0006-0000-0400-000009000000}">
      <text>
        <r>
          <rPr>
            <sz val="12"/>
            <color theme="1"/>
            <rFont val="Calibri"/>
          </rPr>
          <t>======
ID#AAAAIsyL0cM
Autor    (2021-06-08 20:50:12)
Utilidad Neta / Ventas Netas</t>
        </r>
      </text>
    </comment>
    <comment ref="B20" authorId="0" shapeId="0" xr:uid="{00000000-0006-0000-0400-000002000000}">
      <text>
        <r>
          <rPr>
            <sz val="12"/>
            <color theme="1"/>
            <rFont val="Calibri"/>
          </rPr>
          <t>======
ID#AAAAIsyL0co
JuanCarlos    (2021-06-08 20:50:12)
Medida para la eficiencia total de la empresa en la administración de las inversiones totales en activos.
Utilidad Neta / Activos Totales.</t>
        </r>
      </text>
    </comment>
    <comment ref="B21" authorId="0" shapeId="0" xr:uid="{00000000-0006-0000-0400-00000B000000}">
      <text>
        <r>
          <rPr>
            <sz val="12"/>
            <color theme="1"/>
            <rFont val="Calibri"/>
          </rPr>
          <t>======
ID#AAAAIsyL0cI
Autor    (2021-06-08 20:50:12)
Utilidad / Capital Contable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0CwcyTkZZT1jmRNjDnqHMc+x9KQ=="/>
    </ext>
  </extLst>
</comments>
</file>

<file path=xl/sharedStrings.xml><?xml version="1.0" encoding="utf-8"?>
<sst xmlns="http://schemas.openxmlformats.org/spreadsheetml/2006/main" count="259" uniqueCount="204">
  <si>
    <t>CLIENTE</t>
  </si>
  <si>
    <t>CHECK LIST</t>
  </si>
  <si>
    <t>PROYECTO DE INVERSION</t>
  </si>
  <si>
    <t>Presentacion / Curriculum de la empresa</t>
  </si>
  <si>
    <t>Resumen ejecutivo</t>
  </si>
  <si>
    <t>Proyecciones financieras</t>
  </si>
  <si>
    <t>Cuadro descriptivo de la estructura directiva</t>
  </si>
  <si>
    <t>CV de los principales directivos y socios</t>
  </si>
  <si>
    <t>LEGAL</t>
  </si>
  <si>
    <t>Acta Constitutiva</t>
  </si>
  <si>
    <t>Poderes y Asambleas</t>
  </si>
  <si>
    <t>FINANCIERA</t>
  </si>
  <si>
    <t>Estados Financieros (Estados de Resultados, Balance General, Relaciones Analiticas)</t>
  </si>
  <si>
    <t>Estados Financieros 2019</t>
  </si>
  <si>
    <t>Estados Financieros 2020</t>
  </si>
  <si>
    <t>Estado Financieroa Parcial 2021</t>
  </si>
  <si>
    <t>Estados de cuenta banacarios de los ultimos 12 meses</t>
  </si>
  <si>
    <t>Proyecciones Financieras del proyecto</t>
  </si>
  <si>
    <t>FISCAL</t>
  </si>
  <si>
    <t>Constancia de Situacion Fiscal</t>
  </si>
  <si>
    <t>Declaración anual 2019</t>
  </si>
  <si>
    <t>Declaración Anual 2020</t>
  </si>
  <si>
    <t>Ultimas 3 declaraciones provisionales</t>
  </si>
  <si>
    <t>Comprobante de domicilio Fiscal</t>
  </si>
  <si>
    <t>BURO DE CREDITO</t>
  </si>
  <si>
    <t>Reporte de buro de credito Especial PM</t>
  </si>
  <si>
    <t>Reporte buró de crédito Especial Socios accionistas y/o RL</t>
  </si>
  <si>
    <t>Información General</t>
  </si>
  <si>
    <t>DATOS GENERALES</t>
  </si>
  <si>
    <t>Razon Social:</t>
  </si>
  <si>
    <t>Nombre Comercial:</t>
  </si>
  <si>
    <t>RFC:</t>
  </si>
  <si>
    <t>Domicilio Fiscal:</t>
  </si>
  <si>
    <t>Ciudad:</t>
  </si>
  <si>
    <t>Estado:</t>
  </si>
  <si>
    <t>Contacto</t>
  </si>
  <si>
    <t>Telefono:</t>
  </si>
  <si>
    <t>Correo electrónico:</t>
  </si>
  <si>
    <t>Pagina web:</t>
  </si>
  <si>
    <t>Numero de  empleados:</t>
  </si>
  <si>
    <t>Permanentes:</t>
  </si>
  <si>
    <t>Eventuales:</t>
  </si>
  <si>
    <t>HISTORIA Y DESCRIPCIÓN DEL CLIENTE</t>
  </si>
  <si>
    <t>CUANDRO ACCIONARIO</t>
  </si>
  <si>
    <t>PRINCIPALES FUNCIONARIOS</t>
  </si>
  <si>
    <t>#</t>
  </si>
  <si>
    <t>Nombre</t>
  </si>
  <si>
    <t>%</t>
  </si>
  <si>
    <t>$</t>
  </si>
  <si>
    <t>Puesto / Funcion</t>
  </si>
  <si>
    <t>SOLICITUD</t>
  </si>
  <si>
    <t>Monto:</t>
  </si>
  <si>
    <t>Divisa:</t>
  </si>
  <si>
    <t>Plazo deseado:</t>
  </si>
  <si>
    <t>Destino:</t>
  </si>
  <si>
    <t>Tasa Objetivo:</t>
  </si>
  <si>
    <t>Tipo de Colateral:</t>
  </si>
  <si>
    <t>INFORMACION CUANTITATIVA</t>
  </si>
  <si>
    <t>Nivel de  Ventas Anuales:</t>
  </si>
  <si>
    <t>Margen Real de Utilidad:</t>
  </si>
  <si>
    <t>Situación de Buró de Credito:</t>
  </si>
  <si>
    <t>PRICIPALES CLIENTES</t>
  </si>
  <si>
    <t>PRINCIPALES PROVEEDORES</t>
  </si>
  <si>
    <t>Dias</t>
  </si>
  <si>
    <t>Nnombre</t>
  </si>
  <si>
    <t>PRINCIPALES COMPETIDORES</t>
  </si>
  <si>
    <t>Mayor / Menor</t>
  </si>
  <si>
    <t>RELACION PATRIMONIAL</t>
  </si>
  <si>
    <t>Propietario</t>
  </si>
  <si>
    <t>Tipo de Propiedad</t>
  </si>
  <si>
    <t>Domicilio</t>
  </si>
  <si>
    <r>
      <rPr>
        <b/>
        <sz val="11"/>
        <color theme="0"/>
        <rFont val="Calibri (Cuerpo)"/>
      </rPr>
      <t>Mts 2</t>
    </r>
    <r>
      <rPr>
        <b/>
        <sz val="11"/>
        <color theme="0"/>
        <rFont val="Calibri"/>
        <family val="2"/>
      </rPr>
      <t xml:space="preserve"> 
Terreno</t>
    </r>
  </si>
  <si>
    <t>Mts2 
Constuccion</t>
  </si>
  <si>
    <t>Valor Estimado</t>
  </si>
  <si>
    <t>Gravamen</t>
  </si>
  <si>
    <t>Propuesta</t>
  </si>
  <si>
    <t>Saldo deudor del objeto del gravamen</t>
  </si>
  <si>
    <t>CUENTAS EN PESOS</t>
  </si>
  <si>
    <t>BANCO XXXX</t>
  </si>
  <si>
    <t>BANCO XXX</t>
  </si>
  <si>
    <t>TOTALES PESOS</t>
  </si>
  <si>
    <t>Año</t>
  </si>
  <si>
    <t>Mes</t>
  </si>
  <si>
    <t>Ingresos</t>
  </si>
  <si>
    <t>Egresos</t>
  </si>
  <si>
    <t>Saldos 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</si>
  <si>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</si>
  <si>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</si>
  <si>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</si>
  <si>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</si>
  <si>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</si>
  <si>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</si>
  <si>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</si>
  <si>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</si>
  <si>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</si>
  <si>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</si>
  <si>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</si>
  <si>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</si>
  <si>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</si>
  <si>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CUENTAS EN DOLARES</t>
  </si>
  <si>
    <t>BANCO CTA. XXX</t>
  </si>
  <si>
    <t>TOTALES DOLARES</t>
  </si>
  <si>
    <t>TOTAL GENERAL</t>
  </si>
  <si>
    <t xml:space="preserve">CONVERSION USD A MX </t>
  </si>
  <si>
    <t>PESOS X DÓLAR:</t>
  </si>
  <si>
    <t>TOTAL CUENTAS PESOS</t>
  </si>
  <si>
    <t>Saldo Promedio</t>
  </si>
  <si>
    <t>Parametrox</t>
  </si>
  <si>
    <t>BALANCE GENERAL</t>
  </si>
  <si>
    <t>COMPORTAMIENTO GRAFICO</t>
  </si>
  <si>
    <t>Activo Circulante</t>
  </si>
  <si>
    <t>Inventarios</t>
  </si>
  <si>
    <t>Clientes</t>
  </si>
  <si>
    <t>Deudores Diversos</t>
  </si>
  <si>
    <t>Activo Fijo</t>
  </si>
  <si>
    <t>Terrenos y Edificios</t>
  </si>
  <si>
    <t>Maquinaria y Equipo</t>
  </si>
  <si>
    <t>Equipo de Transporte</t>
  </si>
  <si>
    <t>Otros Activos</t>
  </si>
  <si>
    <t>Intangibles (registro de marca)</t>
  </si>
  <si>
    <t>ACTIVO TOTAL</t>
  </si>
  <si>
    <t>Pasivo Circulante</t>
  </si>
  <si>
    <t>Proveedores</t>
  </si>
  <si>
    <t>Acreedores Div.</t>
  </si>
  <si>
    <t>Docs. x pagar CP</t>
  </si>
  <si>
    <t>Pasivo Largo Plazo</t>
  </si>
  <si>
    <t>Docs. X pagar LP</t>
  </si>
  <si>
    <t>Otros Pasivos</t>
  </si>
  <si>
    <t>PASIVO TOTAL</t>
  </si>
  <si>
    <t>Capital Social</t>
  </si>
  <si>
    <t>Ut Ejercicios anterioes</t>
  </si>
  <si>
    <t>Capital Contable</t>
  </si>
  <si>
    <t>Estado de Resultados</t>
  </si>
  <si>
    <t>VENTAS</t>
  </si>
  <si>
    <t>Costos de Venta</t>
  </si>
  <si>
    <t>Ut. Bruta</t>
  </si>
  <si>
    <t>Gastos de Op.</t>
  </si>
  <si>
    <t>UT. De operación</t>
  </si>
  <si>
    <t>Gastos Fin.</t>
  </si>
  <si>
    <t>Otros productos</t>
  </si>
  <si>
    <t>Otros Gastos</t>
  </si>
  <si>
    <t>UT. Antes de impuestos</t>
  </si>
  <si>
    <t>Impuestos</t>
  </si>
  <si>
    <t>Depreciacion</t>
  </si>
  <si>
    <t>UTILIDAD NETA</t>
  </si>
  <si>
    <t>Valor de Relacion Patrimnial:</t>
  </si>
  <si>
    <t>RAZONES</t>
  </si>
  <si>
    <t>GRAFICO DE RAZONES</t>
  </si>
  <si>
    <t>Razón</t>
  </si>
  <si>
    <t>De Liquidez</t>
  </si>
  <si>
    <t>Circulante / Liquidez</t>
  </si>
  <si>
    <t>Prueba del Acido</t>
  </si>
  <si>
    <t>De Actividad o Uso de Activos</t>
  </si>
  <si>
    <t>Rotación de Cuentas X Cobrar</t>
  </si>
  <si>
    <t>Rotación de Cuentas x Pagar</t>
  </si>
  <si>
    <t>Rotación de Inventarios</t>
  </si>
  <si>
    <t>De Apalancamiento Financiero</t>
  </si>
  <si>
    <t xml:space="preserve">Deuda Total </t>
  </si>
  <si>
    <t>Deuda Total Despues de Financiamiento</t>
  </si>
  <si>
    <t>Deuda Total a Capital Contable</t>
  </si>
  <si>
    <t>Deuda a Largo Plazo</t>
  </si>
  <si>
    <t>De Rentabilidad</t>
  </si>
  <si>
    <t>Margen de Utilidad</t>
  </si>
  <si>
    <t>Rendimiento en Activos (ROA)</t>
  </si>
  <si>
    <t>Rendimiento en Capital Contable (ROE)</t>
  </si>
  <si>
    <t>RESUMEN DE FLUJOS DE EFECTIVO BANCARIOS</t>
  </si>
  <si>
    <t>TOTAL</t>
  </si>
  <si>
    <t>Resultados de Analisis</t>
  </si>
  <si>
    <t>Maximo por Capacidad Contable</t>
  </si>
  <si>
    <t>Maximo por Ventas</t>
  </si>
  <si>
    <t>Maximo por Palanca</t>
  </si>
  <si>
    <t>Maximo por Flujos</t>
  </si>
  <si>
    <t>Análisis</t>
  </si>
  <si>
    <t>Titular</t>
  </si>
  <si>
    <t>Calificacion 
ultimo año</t>
  </si>
  <si>
    <t>Linea Mayor</t>
  </si>
  <si>
    <t>Comentarios</t>
  </si>
  <si>
    <t>PM</t>
  </si>
  <si>
    <t>RL</t>
  </si>
  <si>
    <t>SOCIO 1</t>
  </si>
  <si>
    <t>ESTADO DE RESULTADOS</t>
  </si>
  <si>
    <t>FLUJOS</t>
  </si>
  <si>
    <t>DECLARACION ANUAL</t>
  </si>
  <si>
    <t>OBSERVACIONES / CONCLUSIONES</t>
  </si>
  <si>
    <t>RUTAS</t>
  </si>
  <si>
    <t>Institucion</t>
  </si>
  <si>
    <t>Tipo</t>
  </si>
  <si>
    <t>Monto</t>
  </si>
  <si>
    <t>Plazo</t>
  </si>
  <si>
    <t>Garantia</t>
  </si>
  <si>
    <t xml:space="preserve">Comentarios </t>
  </si>
  <si>
    <t>#REF!</t>
  </si>
  <si>
    <t>Activo Circulante / Pasivo Circulante</t>
  </si>
  <si>
    <t>(Activo Circulante - Inventarios)/ Pasivo Circulante</t>
  </si>
  <si>
    <t xml:space="preserve">365 / (Ventas / Clientes) </t>
  </si>
  <si>
    <t>(Proveedores / Costos de Venta)*365</t>
  </si>
  <si>
    <t>(Inventarios / Costos de Venta)*365</t>
  </si>
  <si>
    <t>Pasivo Total / Activo Total</t>
  </si>
  <si>
    <t>Pasivo Total / Capital Contable</t>
  </si>
  <si>
    <t>Pasivo Largo Plazo / (Activo Total - Pasivo Total)</t>
  </si>
  <si>
    <t>Utilidad Neta / Ventas</t>
  </si>
  <si>
    <t>Utilidad Neta / Activos Totales</t>
  </si>
  <si>
    <t>Utilidad Neta / Capital Contable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</si>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</sst>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_-&quot;$&quot;* #,##0.00_-;\-&quot;$&quot;* #,##0.00_-;_-&quot;$&quot;* &quot;-&quot;??_-;_-@"/>
    <numFmt numFmtId="166" formatCode="_-[$$-409]* #,##0.00_ ;_-[$$-409]* \-#,##0.00\ ;_-[$$-409]* &quot;-&quot;??_ ;_-@_ "/>
    <numFmt numFmtId="167" formatCode="d/m/yyyy"/>
    <numFmt numFmtId="168" formatCode="_-* #,##0_-;\-* #,##0_-;_-* &quot;-&quot;??_-;_-@"/>
  </numFmts>
  <fonts count="31">
    <font>
      <sz val="12"/>
      <color theme="1"/>
      <name val="Calibri"/>
    </font>
    <font>
      <b/>
      <sz val="20"/>
      <color theme="1"/>
      <name val="Calibri"/>
      <family val="2"/>
    </font>
    <font>
      <b/>
      <sz val="16"/>
      <color rgb="FF7F7F7F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rgb="FF7F7F7F"/>
      <name val="Calibri"/>
      <family val="2"/>
    </font>
    <font>
      <b/>
      <u/>
      <sz val="14"/>
      <color theme="1"/>
      <name val="Calibri"/>
      <family val="2"/>
    </font>
    <font>
      <sz val="12"/>
      <name val="Calibri"/>
      <family val="2"/>
    </font>
    <font>
      <b/>
      <u/>
      <sz val="14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u/>
      <sz val="14"/>
      <color theme="1"/>
      <name val="Calibri"/>
      <family val="2"/>
    </font>
    <font>
      <b/>
      <sz val="11"/>
      <color theme="0"/>
      <name val="Calibri"/>
      <family val="2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0000"/>
      <name val="Calibri"/>
      <family val="2"/>
    </font>
    <font>
      <i/>
      <sz val="11"/>
      <color theme="1"/>
      <name val="Calibri"/>
      <family val="2"/>
    </font>
    <font>
      <sz val="11"/>
      <color theme="0"/>
      <name val="Calibri"/>
      <family val="2"/>
    </font>
    <font>
      <b/>
      <sz val="28"/>
      <color theme="1"/>
      <name val="Calibri"/>
      <family val="2"/>
    </font>
    <font>
      <b/>
      <sz val="28"/>
      <color theme="0"/>
      <name val="Calibri"/>
      <family val="2"/>
    </font>
    <font>
      <b/>
      <sz val="26"/>
      <color theme="0"/>
      <name val="Calibri"/>
      <family val="2"/>
    </font>
    <font>
      <b/>
      <sz val="12"/>
      <color rgb="FF7F7F7F"/>
      <name val="Calibri"/>
      <family val="2"/>
    </font>
    <font>
      <b/>
      <sz val="14"/>
      <color theme="1"/>
      <name val="Calibri"/>
      <family val="2"/>
    </font>
    <font>
      <b/>
      <sz val="9"/>
      <color theme="0"/>
      <name val="Calibri"/>
      <family val="2"/>
    </font>
    <font>
      <i/>
      <u/>
      <sz val="12"/>
      <color theme="1"/>
      <name val="Calibri"/>
      <family val="2"/>
    </font>
    <font>
      <b/>
      <sz val="11"/>
      <color rgb="FF7F7F7F"/>
      <name val="Calibri"/>
      <family val="2"/>
    </font>
    <font>
      <b/>
      <sz val="22"/>
      <color theme="1"/>
      <name val="Calibri"/>
      <family val="2"/>
    </font>
    <font>
      <b/>
      <sz val="11"/>
      <color theme="0"/>
      <name val="Calibri (Cuerpo)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003D4F"/>
        <bgColor rgb="FF003D4F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2" borderId="5" xfId="0" applyFill="1" applyBorder="1" applyAlignment="1">
      <alignment vertical="center"/>
    </xf>
    <xf numFmtId="0" fontId="4" fillId="0" borderId="0" xfId="0" applyFont="1" applyAlignment="1">
      <alignment horizontal="righ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9" fillId="0" borderId="0" xfId="0" applyFont="1" applyAlignment="1">
      <alignment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9" fontId="0" fillId="2" borderId="21" xfId="0" applyNumberForma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2" borderId="27" xfId="0" applyFill="1" applyBorder="1" applyAlignment="1">
      <alignment horizontal="center"/>
    </xf>
    <xf numFmtId="9" fontId="0" fillId="2" borderId="28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33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4" borderId="5" xfId="0" applyFill="1" applyBorder="1"/>
    <xf numFmtId="0" fontId="16" fillId="4" borderId="5" xfId="0" applyFont="1" applyFill="1" applyBorder="1"/>
    <xf numFmtId="0" fontId="16" fillId="2" borderId="5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164" fontId="15" fillId="4" borderId="5" xfId="0" applyNumberFormat="1" applyFont="1" applyFill="1" applyBorder="1" applyAlignment="1">
      <alignment horizontal="center"/>
    </xf>
    <xf numFmtId="164" fontId="15" fillId="4" borderId="5" xfId="0" applyNumberFormat="1" applyFont="1" applyFill="1" applyBorder="1"/>
    <xf numFmtId="164" fontId="0" fillId="4" borderId="5" xfId="0" applyNumberFormat="1" applyFill="1" applyBorder="1"/>
    <xf numFmtId="165" fontId="16" fillId="4" borderId="5" xfId="0" applyNumberFormat="1" applyFont="1" applyFill="1" applyBorder="1"/>
    <xf numFmtId="165" fontId="0" fillId="4" borderId="5" xfId="0" applyNumberFormat="1" applyFill="1" applyBorder="1"/>
    <xf numFmtId="0" fontId="1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166" fontId="15" fillId="4" borderId="5" xfId="0" applyNumberFormat="1" applyFont="1" applyFill="1" applyBorder="1" applyAlignment="1">
      <alignment horizontal="center"/>
    </xf>
    <xf numFmtId="166" fontId="15" fillId="4" borderId="5" xfId="0" applyNumberFormat="1" applyFont="1" applyFill="1" applyBorder="1"/>
    <xf numFmtId="166" fontId="16" fillId="4" borderId="5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6" fontId="0" fillId="4" borderId="5" xfId="0" applyNumberFormat="1" applyFill="1" applyBorder="1"/>
    <xf numFmtId="165" fontId="15" fillId="4" borderId="5" xfId="0" applyNumberFormat="1" applyFont="1" applyFill="1" applyBorder="1"/>
    <xf numFmtId="0" fontId="17" fillId="0" borderId="0" xfId="0" applyFont="1" applyAlignment="1">
      <alignment horizontal="center"/>
    </xf>
    <xf numFmtId="166" fontId="0" fillId="0" borderId="0" xfId="0" applyNumberFormat="1"/>
    <xf numFmtId="0" fontId="10" fillId="0" borderId="0" xfId="0" applyFont="1"/>
    <xf numFmtId="165" fontId="0" fillId="0" borderId="0" xfId="0" applyNumberFormat="1"/>
    <xf numFmtId="165" fontId="15" fillId="0" borderId="0" xfId="0" applyNumberFormat="1" applyFont="1"/>
    <xf numFmtId="0" fontId="19" fillId="0" borderId="0" xfId="0" applyFont="1"/>
    <xf numFmtId="166" fontId="16" fillId="4" borderId="5" xfId="0" applyNumberFormat="1" applyFont="1" applyFill="1" applyBorder="1"/>
    <xf numFmtId="0" fontId="16" fillId="0" borderId="0" xfId="0" applyFont="1"/>
    <xf numFmtId="0" fontId="15" fillId="0" borderId="0" xfId="0" applyFont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/>
    </xf>
    <xf numFmtId="164" fontId="10" fillId="0" borderId="0" xfId="0" applyNumberFormat="1" applyFont="1"/>
    <xf numFmtId="0" fontId="13" fillId="0" borderId="0" xfId="0" applyFont="1" applyAlignment="1">
      <alignment horizontal="right"/>
    </xf>
    <xf numFmtId="167" fontId="13" fillId="0" borderId="0" xfId="0" applyNumberFormat="1" applyFont="1"/>
    <xf numFmtId="0" fontId="15" fillId="0" borderId="0" xfId="0" applyFont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0" fillId="3" borderId="21" xfId="0" applyFont="1" applyFill="1" applyBorder="1" applyAlignment="1">
      <alignment horizontal="center"/>
    </xf>
    <xf numFmtId="0" fontId="20" fillId="3" borderId="35" xfId="0" applyFont="1" applyFill="1" applyBorder="1" applyAlignment="1">
      <alignment horizontal="center"/>
    </xf>
    <xf numFmtId="168" fontId="20" fillId="0" borderId="0" xfId="0" applyNumberFormat="1" applyFont="1" applyAlignment="1">
      <alignment horizontal="center"/>
    </xf>
    <xf numFmtId="0" fontId="4" fillId="0" borderId="0" xfId="0" applyFont="1"/>
    <xf numFmtId="168" fontId="4" fillId="0" borderId="18" xfId="0" applyNumberFormat="1" applyFont="1" applyBorder="1" applyAlignment="1">
      <alignment horizontal="center"/>
    </xf>
    <xf numFmtId="9" fontId="4" fillId="0" borderId="30" xfId="0" applyNumberFormat="1" applyFont="1" applyBorder="1" applyAlignment="1">
      <alignment horizontal="center"/>
    </xf>
    <xf numFmtId="4" fontId="20" fillId="0" borderId="0" xfId="0" applyNumberFormat="1" applyFont="1" applyAlignment="1">
      <alignment horizontal="right"/>
    </xf>
    <xf numFmtId="168" fontId="20" fillId="0" borderId="0" xfId="0" applyNumberFormat="1" applyFont="1"/>
    <xf numFmtId="168" fontId="0" fillId="0" borderId="18" xfId="0" applyNumberFormat="1" applyBorder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4" fillId="5" borderId="5" xfId="0" applyNumberFormat="1" applyFont="1" applyFill="1" applyBorder="1"/>
    <xf numFmtId="168" fontId="4" fillId="5" borderId="21" xfId="0" applyNumberFormat="1" applyFont="1" applyFill="1" applyBorder="1" applyAlignment="1">
      <alignment horizontal="center"/>
    </xf>
    <xf numFmtId="9" fontId="4" fillId="5" borderId="35" xfId="0" applyNumberFormat="1" applyFont="1" applyFill="1" applyBorder="1" applyAlignment="1">
      <alignment horizontal="center"/>
    </xf>
    <xf numFmtId="167" fontId="20" fillId="0" borderId="0" xfId="0" applyNumberFormat="1" applyFont="1" applyAlignment="1">
      <alignment horizontal="center"/>
    </xf>
    <xf numFmtId="167" fontId="20" fillId="0" borderId="0" xfId="0" applyNumberFormat="1" applyFont="1"/>
    <xf numFmtId="164" fontId="0" fillId="0" borderId="0" xfId="0" applyNumberForma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5" borderId="5" xfId="0" applyFont="1" applyFill="1" applyBorder="1"/>
    <xf numFmtId="164" fontId="0" fillId="5" borderId="5" xfId="0" applyNumberFormat="1" applyFill="1" applyBorder="1" applyAlignment="1">
      <alignment horizontal="center"/>
    </xf>
    <xf numFmtId="10" fontId="4" fillId="5" borderId="5" xfId="0" applyNumberFormat="1" applyFont="1" applyFill="1" applyBorder="1" applyAlignment="1">
      <alignment horizontal="center"/>
    </xf>
    <xf numFmtId="164" fontId="20" fillId="0" borderId="0" xfId="0" applyNumberFormat="1" applyFont="1"/>
    <xf numFmtId="0" fontId="15" fillId="0" borderId="0" xfId="0" applyFont="1" applyAlignment="1">
      <alignment horizontal="right"/>
    </xf>
    <xf numFmtId="0" fontId="13" fillId="3" borderId="5" xfId="0" applyFont="1" applyFill="1" applyBorder="1"/>
    <xf numFmtId="167" fontId="16" fillId="0" borderId="0" xfId="0" applyNumberFormat="1" applyFont="1" applyAlignment="1">
      <alignment horizontal="center"/>
    </xf>
    <xf numFmtId="0" fontId="13" fillId="3" borderId="5" xfId="0" applyFont="1" applyFill="1" applyBorder="1" applyAlignment="1">
      <alignment horizontal="center"/>
    </xf>
    <xf numFmtId="167" fontId="26" fillId="3" borderId="5" xfId="0" applyNumberFormat="1" applyFont="1" applyFill="1" applyBorder="1" applyAlignment="1">
      <alignment horizontal="center"/>
    </xf>
    <xf numFmtId="2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27" fillId="0" borderId="0" xfId="0" applyFont="1" applyAlignment="1">
      <alignment horizontal="left"/>
    </xf>
    <xf numFmtId="9" fontId="20" fillId="0" borderId="0" xfId="0" applyNumberFormat="1" applyFont="1" applyAlignment="1">
      <alignment horizontal="center"/>
    </xf>
    <xf numFmtId="9" fontId="19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0" fillId="3" borderId="5" xfId="0" applyFont="1" applyFill="1" applyBorder="1" applyAlignment="1">
      <alignment horizontal="center"/>
    </xf>
    <xf numFmtId="164" fontId="4" fillId="0" borderId="0" xfId="0" applyNumberFormat="1" applyFont="1"/>
    <xf numFmtId="0" fontId="15" fillId="0" borderId="0" xfId="0" applyFont="1" applyAlignment="1">
      <alignment vertical="center"/>
    </xf>
    <xf numFmtId="167" fontId="28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vertical="center"/>
    </xf>
    <xf numFmtId="164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10" fillId="3" borderId="11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8" fillId="0" borderId="15" xfId="0" applyFont="1" applyBorder="1"/>
    <xf numFmtId="0" fontId="10" fillId="3" borderId="16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164" fontId="0" fillId="0" borderId="18" xfId="0" applyNumberFormat="1" applyBorder="1"/>
    <xf numFmtId="0" fontId="0" fillId="0" borderId="19" xfId="0" applyBorder="1" applyAlignment="1">
      <alignment horizontal="left"/>
    </xf>
    <xf numFmtId="0" fontId="8" fillId="0" borderId="19" xfId="0" applyFont="1" applyBorder="1"/>
    <xf numFmtId="0" fontId="0" fillId="0" borderId="20" xfId="0" applyBorder="1"/>
    <xf numFmtId="0" fontId="0" fillId="2" borderId="2" xfId="0" applyFill="1" applyBorder="1"/>
    <xf numFmtId="0" fontId="8" fillId="0" borderId="3" xfId="0" applyFont="1" applyBorder="1"/>
    <xf numFmtId="0" fontId="8" fillId="0" borderId="4" xfId="0" applyFont="1" applyBorder="1"/>
    <xf numFmtId="164" fontId="0" fillId="2" borderId="22" xfId="0" applyNumberFormat="1" applyFill="1" applyBorder="1"/>
    <xf numFmtId="0" fontId="0" fillId="2" borderId="2" xfId="0" applyFill="1" applyBorder="1" applyAlignment="1">
      <alignment horizontal="left"/>
    </xf>
    <xf numFmtId="0" fontId="0" fillId="2" borderId="22" xfId="0" applyFill="1" applyBorder="1"/>
    <xf numFmtId="0" fontId="0" fillId="0" borderId="7" xfId="0" applyBorder="1" applyAlignment="1">
      <alignment horizontal="left"/>
    </xf>
    <xf numFmtId="0" fontId="8" fillId="0" borderId="7" xfId="0" applyFont="1" applyBorder="1"/>
    <xf numFmtId="0" fontId="0" fillId="0" borderId="7" xfId="0" applyBorder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8" fillId="0" borderId="6" xfId="0" applyFont="1" applyBorder="1"/>
    <xf numFmtId="0" fontId="0" fillId="0" borderId="8" xfId="0" applyBorder="1" applyAlignment="1">
      <alignment horizontal="center" vertical="top" wrapText="1"/>
    </xf>
    <xf numFmtId="0" fontId="8" fillId="0" borderId="9" xfId="0" applyFont="1" applyBorder="1"/>
    <xf numFmtId="0" fontId="0" fillId="0" borderId="0" xfId="0" applyAlignment="1">
      <alignment horizontal="left"/>
    </xf>
    <xf numFmtId="0" fontId="0" fillId="0" borderId="18" xfId="0" applyBorder="1"/>
    <xf numFmtId="0" fontId="0" fillId="2" borderId="23" xfId="0" applyFill="1" applyBorder="1" applyAlignment="1">
      <alignment horizontal="left"/>
    </xf>
    <xf numFmtId="0" fontId="8" fillId="0" borderId="24" xfId="0" applyFont="1" applyBorder="1"/>
    <xf numFmtId="0" fontId="8" fillId="0" borderId="25" xfId="0" applyFont="1" applyBorder="1"/>
    <xf numFmtId="0" fontId="0" fillId="2" borderId="26" xfId="0" applyFill="1" applyBorder="1"/>
    <xf numFmtId="0" fontId="0" fillId="2" borderId="23" xfId="0" applyFill="1" applyBorder="1"/>
    <xf numFmtId="164" fontId="0" fillId="2" borderId="26" xfId="0" applyNumberFormat="1" applyFill="1" applyBorder="1"/>
    <xf numFmtId="164" fontId="0" fillId="0" borderId="6" xfId="0" applyNumberFormat="1" applyBorder="1" applyAlignment="1">
      <alignment horizontal="left"/>
    </xf>
    <xf numFmtId="0" fontId="0" fillId="0" borderId="0" xfId="0" applyAlignment="1">
      <alignment horizontal="center"/>
    </xf>
    <xf numFmtId="0" fontId="8" fillId="0" borderId="30" xfId="0" applyFont="1" applyBorder="1"/>
    <xf numFmtId="0" fontId="0" fillId="2" borderId="2" xfId="0" applyFill="1" applyBorder="1" applyAlignment="1">
      <alignment horizontal="center"/>
    </xf>
    <xf numFmtId="0" fontId="8" fillId="0" borderId="31" xfId="0" applyFont="1" applyBorder="1"/>
    <xf numFmtId="0" fontId="0" fillId="2" borderId="23" xfId="0" applyFill="1" applyBorder="1" applyAlignment="1">
      <alignment horizontal="center"/>
    </xf>
    <xf numFmtId="0" fontId="8" fillId="0" borderId="32" xfId="0" applyFont="1" applyBorder="1"/>
    <xf numFmtId="0" fontId="10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2" xfId="0" applyFill="1" applyBorder="1" applyAlignment="1">
      <alignment horizontal="left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left" vertical="center"/>
    </xf>
    <xf numFmtId="164" fontId="0" fillId="2" borderId="23" xfId="0" applyNumberFormat="1" applyFill="1" applyBorder="1" applyAlignment="1">
      <alignment horizontal="center" vertical="center"/>
    </xf>
    <xf numFmtId="164" fontId="11" fillId="0" borderId="38" xfId="0" applyNumberFormat="1" applyFont="1" applyBorder="1" applyAlignment="1">
      <alignment horizontal="center"/>
    </xf>
    <xf numFmtId="0" fontId="8" fillId="0" borderId="38" xfId="0" applyFont="1" applyBorder="1"/>
    <xf numFmtId="9" fontId="0" fillId="0" borderId="7" xfId="0" applyNumberFormat="1" applyBorder="1" applyAlignment="1">
      <alignment horizontal="left"/>
    </xf>
    <xf numFmtId="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0" fillId="3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20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9" fontId="0" fillId="2" borderId="22" xfId="0" applyNumberFormat="1" applyFill="1" applyBorder="1" applyAlignment="1">
      <alignment horizontal="center"/>
    </xf>
    <xf numFmtId="9" fontId="0" fillId="2" borderId="26" xfId="0" applyNumberForma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2" borderId="23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7" fontId="16" fillId="0" borderId="18" xfId="0" applyNumberFormat="1" applyFont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7" fillId="6" borderId="1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8" fillId="0" borderId="40" xfId="0" applyFont="1" applyBorder="1"/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40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MX" sz="2000" b="0" i="0">
                <a:solidFill>
                  <a:srgbClr val="757575"/>
                </a:solidFill>
                <a:latin typeface="Calibri Light"/>
              </a:rPr>
              <a:t>COMPORTAMIENTO DEL ACTIVOS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Activo Circulante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'Estados Financieros'!$K$8:$M$8</c:f>
              <c:numCache>
                <c:formatCode>d/m/yyyy</c:formatCode>
                <c:ptCount val="3"/>
                <c:pt idx="0">
                  <c:v>43830</c:v>
                </c:pt>
                <c:pt idx="1">
                  <c:v>44196</c:v>
                </c:pt>
                <c:pt idx="2">
                  <c:v>44377</c:v>
                </c:pt>
              </c:numCache>
            </c:numRef>
          </c:cat>
          <c:val>
            <c:numRef>
              <c:f>'Estados Financieros'!$K$9:$M$9</c:f>
              <c:numCache>
                <c:formatCode>_-* #,##0_-;\-* #,##0_-;_-* "-"??_-;_-@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0-4EFA-9FC2-2BBE941C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494834"/>
        <c:axId val="1613492549"/>
      </c:lineChart>
      <c:dateAx>
        <c:axId val="1518494834"/>
        <c:scaling>
          <c:orientation val="minMax"/>
          <c:min val="4346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613492549"/>
        <c:crosses val="autoZero"/>
        <c:auto val="1"/>
        <c:lblOffset val="100"/>
        <c:baseTimeUnit val="months"/>
      </c:dateAx>
      <c:valAx>
        <c:axId val="16134925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51849483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COMPORTAMIENTO DEL PASIVO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5430664916885395E-2"/>
          <c:y val="0.28682997958588508"/>
          <c:w val="0.8435831146106737"/>
          <c:h val="0.6150681685622631"/>
        </c:manualLayout>
      </c:layout>
      <c:lineChart>
        <c:grouping val="standard"/>
        <c:varyColors val="1"/>
        <c:ser>
          <c:idx val="0"/>
          <c:order val="0"/>
          <c:tx>
            <c:v>Pasivo Circulante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'Estados Financieros'!$K$20:$M$20</c:f>
              <c:numCache>
                <c:formatCode>d/m/yyyy</c:formatCode>
                <c:ptCount val="3"/>
                <c:pt idx="0">
                  <c:v>43830</c:v>
                </c:pt>
                <c:pt idx="1">
                  <c:v>44196</c:v>
                </c:pt>
                <c:pt idx="2">
                  <c:v>44377</c:v>
                </c:pt>
              </c:numCache>
            </c:numRef>
          </c:cat>
          <c:val>
            <c:numRef>
              <c:f>'Estados Financieros'!$K$21:$M$21</c:f>
              <c:numCache>
                <c:formatCode>_-* #,##0_-;\-* #,##0_-;_-* "-"??_-;_-@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E-4C36-B63C-C0137BA0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352214"/>
        <c:axId val="1471657649"/>
      </c:lineChart>
      <c:dateAx>
        <c:axId val="858352214"/>
        <c:scaling>
          <c:orientation val="minMax"/>
          <c:max val="44196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471657649"/>
        <c:crosses val="autoZero"/>
        <c:auto val="1"/>
        <c:lblOffset val="100"/>
        <c:baseTimeUnit val="months"/>
      </c:dateAx>
      <c:valAx>
        <c:axId val="14716576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5835221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ASIGNACION DEL INGRESO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'Estados Financieros'!$J$35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_ ;[Red]\-#,##0\ 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 Ligh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'Estados Financieros'!$J$35:$L$35</c:f>
              <c:numCache>
                <c:formatCode>General</c:formatCode>
                <c:ptCount val="3"/>
              </c:numCache>
            </c:numRef>
          </c:cat>
          <c:val>
            <c:numRef>
              <c:f>'Estados Financieros'!$K$35:$M$35</c:f>
              <c:numCache>
                <c:formatCode>General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23-4949-A72B-B38E50174F6E}"/>
            </c:ext>
          </c:extLst>
        </c:ser>
        <c:ser>
          <c:idx val="1"/>
          <c:order val="1"/>
          <c:tx>
            <c:v>Costos de Venta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_ ;[Red]\-#,##0\ 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'Estados Financieros'!$J$35:$L$35</c:f>
              <c:numCache>
                <c:formatCode>General</c:formatCode>
                <c:ptCount val="3"/>
              </c:numCache>
            </c:numRef>
          </c:cat>
          <c:val>
            <c:numRef>
              <c:f>'Estados Financieros'!$K$36:$M$36</c:f>
              <c:numCache>
                <c:formatCode>_-* #,##0.00_-;\-* #,##0.00_-;_-* "-"??_-;_-@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23-4949-A72B-B38E50174F6E}"/>
            </c:ext>
          </c:extLst>
        </c:ser>
        <c:ser>
          <c:idx val="2"/>
          <c:order val="2"/>
          <c:tx>
            <c:strRef>
              <c:f>'Estados Financieros'!$J$37</c:f>
              <c:strCache>
                <c:ptCount val="1"/>
                <c:pt idx="0">
                  <c:v>Gastos de Op.</c:v>
                </c:pt>
              </c:strCache>
            </c:strRef>
          </c:tx>
          <c:invertIfNegative val="1"/>
          <c:cat>
            <c:numRef>
              <c:f>'Estados Financieros'!$J$35:$L$35</c:f>
              <c:numCache>
                <c:formatCode>General</c:formatCode>
                <c:ptCount val="3"/>
              </c:numCache>
            </c:numRef>
          </c:cat>
          <c:val>
            <c:numRef>
              <c:f>'Estados Financieros'!$K$37:$M$37</c:f>
              <c:numCache>
                <c:formatCode>_-* #,##0.00_-;\-* #,##0.00_-;_-* "-"??_-;_-@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3-4949-A72B-B38E50174F6E}"/>
            </c:ext>
          </c:extLst>
        </c:ser>
        <c:ser>
          <c:idx val="3"/>
          <c:order val="3"/>
          <c:tx>
            <c:strRef>
              <c:f>'Estados Financieros'!$J$38</c:f>
              <c:strCache>
                <c:ptCount val="1"/>
                <c:pt idx="0">
                  <c:v>Impuestos</c:v>
                </c:pt>
              </c:strCache>
            </c:strRef>
          </c:tx>
          <c:invertIfNegative val="1"/>
          <c:cat>
            <c:numRef>
              <c:f>'Estados Financieros'!$J$35:$L$35</c:f>
              <c:numCache>
                <c:formatCode>General</c:formatCode>
                <c:ptCount val="3"/>
              </c:numCache>
            </c:numRef>
          </c:cat>
          <c:val>
            <c:numRef>
              <c:f>'Estados Financieros'!$K$38:$M$38</c:f>
              <c:numCache>
                <c:formatCode>_-* #,##0.00_-;\-* #,##0.00_-;_-* "-"??_-;_-@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23-4949-A72B-B38E50174F6E}"/>
            </c:ext>
          </c:extLst>
        </c:ser>
        <c:ser>
          <c:idx val="4"/>
          <c:order val="4"/>
          <c:tx>
            <c:strRef>
              <c:f>'Estados Financieros'!$J$39</c:f>
              <c:strCache>
                <c:ptCount val="1"/>
                <c:pt idx="0">
                  <c:v>Depreciacion</c:v>
                </c:pt>
              </c:strCache>
            </c:strRef>
          </c:tx>
          <c:invertIfNegative val="1"/>
          <c:cat>
            <c:numRef>
              <c:f>'Estados Financieros'!$J$35:$L$35</c:f>
              <c:numCache>
                <c:formatCode>General</c:formatCode>
                <c:ptCount val="3"/>
              </c:numCache>
            </c:numRef>
          </c:cat>
          <c:val>
            <c:numRef>
              <c:f>'Estados Financieros'!$K$39:$M$39</c:f>
              <c:numCache>
                <c:formatCode>_-* #,##0.00_-;\-* #,##0.00_-;_-* "-"??_-;_-@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23-4949-A72B-B38E50174F6E}"/>
            </c:ext>
          </c:extLst>
        </c:ser>
        <c:ser>
          <c:idx val="5"/>
          <c:order val="5"/>
          <c:tx>
            <c:strRef>
              <c:f>'Estados Financieros'!$J$40</c:f>
              <c:strCache>
                <c:ptCount val="1"/>
                <c:pt idx="0">
                  <c:v>UTILIDAD NETA</c:v>
                </c:pt>
              </c:strCache>
            </c:strRef>
          </c:tx>
          <c:invertIfNegative val="1"/>
          <c:cat>
            <c:numRef>
              <c:f>'Estados Financieros'!$J$35:$L$35</c:f>
              <c:numCache>
                <c:formatCode>General</c:formatCode>
                <c:ptCount val="3"/>
              </c:numCache>
            </c:numRef>
          </c:cat>
          <c:val>
            <c:numRef>
              <c:f>'Estados Financieros'!$K$40:$M$40</c:f>
              <c:numCache>
                <c:formatCode>_-* #,##0.00_-;\-* #,##0.00_-;_-* "-"??_-;_-@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23-4949-A72B-B38E5017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16596"/>
        <c:axId val="47299582"/>
      </c:barChart>
      <c:catAx>
        <c:axId val="70316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7299582"/>
        <c:crosses val="autoZero"/>
        <c:auto val="1"/>
        <c:lblAlgn val="ctr"/>
        <c:lblOffset val="100"/>
        <c:noMultiLvlLbl val="1"/>
      </c:catAx>
      <c:valAx>
        <c:axId val="47299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703165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FLUJO DE EFECTIVO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Ingresos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Hoja1!$C$26:$C$37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Hoja1!$D$26:$D$37</c:f>
              <c:numCache>
                <c:formatCode>_-* #,##0.00_-;\-* #,##0.00_-;_-*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D-42DE-B010-5A3CD86D3151}"/>
            </c:ext>
          </c:extLst>
        </c:ser>
        <c:ser>
          <c:idx val="1"/>
          <c:order val="1"/>
          <c:tx>
            <c:v>Egresos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Hoja1!$C$26:$C$37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Hoja1!$E$26:$E$37</c:f>
              <c:numCache>
                <c:formatCode>_-* #,##0.00_-;\-* #,##0.00_-;_-*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D-42DE-B010-5A3CD86D3151}"/>
            </c:ext>
          </c:extLst>
        </c:ser>
        <c:ser>
          <c:idx val="2"/>
          <c:order val="2"/>
          <c:tx>
            <c:v>Saldo Promedio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Hoja1!$C$26:$C$37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Hoja1!$F$26:$F$37</c:f>
              <c:numCache>
                <c:formatCode>_-* #,##0.00_-;\-* #,##0.00_-;_-*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D-42DE-B010-5A3CD86D3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405687"/>
        <c:axId val="260470485"/>
      </c:lineChart>
      <c:catAx>
        <c:axId val="874405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60470485"/>
        <c:crosses val="autoZero"/>
        <c:auto val="1"/>
        <c:lblAlgn val="ctr"/>
        <c:lblOffset val="100"/>
        <c:noMultiLvlLbl val="1"/>
      </c:catAx>
      <c:valAx>
        <c:axId val="260470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744056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DE LIQUIDEZ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735154"/>
        <c:axId val="1987431376"/>
      </c:lineChart>
      <c:catAx>
        <c:axId val="1846735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987431376"/>
        <c:crosses val="autoZero"/>
        <c:auto val="1"/>
        <c:lblAlgn val="ctr"/>
        <c:lblOffset val="100"/>
        <c:noMultiLvlLbl val="1"/>
      </c:catAx>
      <c:valAx>
        <c:axId val="198743137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467351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DE ACTIVIDAD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009345"/>
        <c:axId val="941795414"/>
      </c:lineChart>
      <c:catAx>
        <c:axId val="581009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941795414"/>
        <c:crosses val="autoZero"/>
        <c:auto val="1"/>
        <c:lblAlgn val="ctr"/>
        <c:lblOffset val="100"/>
        <c:noMultiLvlLbl val="1"/>
      </c:catAx>
      <c:valAx>
        <c:axId val="94179541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8100934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DE APALANCAMIENTO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029296"/>
        <c:axId val="872986158"/>
      </c:lineChart>
      <c:catAx>
        <c:axId val="193002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72986158"/>
        <c:crosses val="autoZero"/>
        <c:auto val="1"/>
        <c:lblAlgn val="ctr"/>
        <c:lblOffset val="100"/>
        <c:noMultiLvlLbl val="1"/>
      </c:catAx>
      <c:valAx>
        <c:axId val="87298615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300292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DE RENTABILIDAD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940445"/>
        <c:axId val="1154981232"/>
      </c:lineChart>
      <c:catAx>
        <c:axId val="1383940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154981232"/>
        <c:crosses val="autoZero"/>
        <c:auto val="1"/>
        <c:lblAlgn val="ctr"/>
        <c:lblOffset val="100"/>
        <c:noMultiLvlLbl val="1"/>
      </c:catAx>
      <c:valAx>
        <c:axId val="115498123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8394044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</xdr:colOff>
      <xdr:row>1</xdr:row>
      <xdr:rowOff>47625</xdr:rowOff>
    </xdr:from>
    <xdr:ext cx="2686050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123825</xdr:colOff>
      <xdr:row>0</xdr:row>
      <xdr:rowOff>66675</xdr:rowOff>
    </xdr:from>
    <xdr:ext cx="42005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200025</xdr:rowOff>
    </xdr:from>
    <xdr:ext cx="6943725" cy="2362200"/>
    <xdr:graphicFrame macro="">
      <xdr:nvGraphicFramePr>
        <xdr:cNvPr id="2096811381" name="Chart 1">
          <a:extLst>
            <a:ext uri="{FF2B5EF4-FFF2-40B4-BE49-F238E27FC236}">
              <a16:creationId xmlns:a16="http://schemas.microsoft.com/office/drawing/2014/main" id="{00000000-0008-0000-0300-000075CDF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19</xdr:row>
      <xdr:rowOff>123825</xdr:rowOff>
    </xdr:from>
    <xdr:ext cx="7019925" cy="2343150"/>
    <xdr:graphicFrame macro="">
      <xdr:nvGraphicFramePr>
        <xdr:cNvPr id="277310406" name="Chart 2">
          <a:extLst>
            <a:ext uri="{FF2B5EF4-FFF2-40B4-BE49-F238E27FC236}">
              <a16:creationId xmlns:a16="http://schemas.microsoft.com/office/drawing/2014/main" id="{00000000-0008-0000-0300-0000C66B8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381000</xdr:colOff>
      <xdr:row>31</xdr:row>
      <xdr:rowOff>19050</xdr:rowOff>
    </xdr:from>
    <xdr:ext cx="7115175" cy="3238500"/>
    <xdr:graphicFrame macro="">
      <xdr:nvGraphicFramePr>
        <xdr:cNvPr id="1478434364" name="Chart 3">
          <a:extLst>
            <a:ext uri="{FF2B5EF4-FFF2-40B4-BE49-F238E27FC236}">
              <a16:creationId xmlns:a16="http://schemas.microsoft.com/office/drawing/2014/main" id="{00000000-0008-0000-0300-00003C1E1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4067175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781050</xdr:colOff>
      <xdr:row>24</xdr:row>
      <xdr:rowOff>0</xdr:rowOff>
    </xdr:from>
    <xdr:ext cx="11125200" cy="2743200"/>
    <xdr:graphicFrame macro="">
      <xdr:nvGraphicFramePr>
        <xdr:cNvPr id="884516164" name="Chart 4">
          <a:extLst>
            <a:ext uri="{FF2B5EF4-FFF2-40B4-BE49-F238E27FC236}">
              <a16:creationId xmlns:a16="http://schemas.microsoft.com/office/drawing/2014/main" id="{00000000-0008-0000-0400-000044A5B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447675</xdr:colOff>
      <xdr:row>2</xdr:row>
      <xdr:rowOff>133350</xdr:rowOff>
    </xdr:from>
    <xdr:ext cx="5953125" cy="1905000"/>
    <xdr:graphicFrame macro="">
      <xdr:nvGraphicFramePr>
        <xdr:cNvPr id="2143467602" name="Chart 5">
          <a:extLst>
            <a:ext uri="{FF2B5EF4-FFF2-40B4-BE49-F238E27FC236}">
              <a16:creationId xmlns:a16="http://schemas.microsoft.com/office/drawing/2014/main" id="{00000000-0008-0000-0400-000052B8C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533400</xdr:colOff>
      <xdr:row>2</xdr:row>
      <xdr:rowOff>133350</xdr:rowOff>
    </xdr:from>
    <xdr:ext cx="5048250" cy="1876425"/>
    <xdr:graphicFrame macro="">
      <xdr:nvGraphicFramePr>
        <xdr:cNvPr id="178436012" name="Chart 6">
          <a:extLst>
            <a:ext uri="{FF2B5EF4-FFF2-40B4-BE49-F238E27FC236}">
              <a16:creationId xmlns:a16="http://schemas.microsoft.com/office/drawing/2014/main" id="{00000000-0008-0000-0400-0000ACB7A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457200</xdr:colOff>
      <xdr:row>11</xdr:row>
      <xdr:rowOff>152400</xdr:rowOff>
    </xdr:from>
    <xdr:ext cx="5981700" cy="1885950"/>
    <xdr:graphicFrame macro="">
      <xdr:nvGraphicFramePr>
        <xdr:cNvPr id="1957465698" name="Chart 7">
          <a:extLst>
            <a:ext uri="{FF2B5EF4-FFF2-40B4-BE49-F238E27FC236}">
              <a16:creationId xmlns:a16="http://schemas.microsoft.com/office/drawing/2014/main" id="{00000000-0008-0000-0400-0000628EA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13</xdr:col>
      <xdr:colOff>533400</xdr:colOff>
      <xdr:row>11</xdr:row>
      <xdr:rowOff>152400</xdr:rowOff>
    </xdr:from>
    <xdr:ext cx="5067300" cy="1838325"/>
    <xdr:graphicFrame macro="">
      <xdr:nvGraphicFramePr>
        <xdr:cNvPr id="1786416286" name="Chart 8">
          <a:extLst>
            <a:ext uri="{FF2B5EF4-FFF2-40B4-BE49-F238E27FC236}">
              <a16:creationId xmlns:a16="http://schemas.microsoft.com/office/drawing/2014/main" id="{00000000-0008-0000-0400-00009E8C7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123825</xdr:rowOff>
    </xdr:from>
    <xdr:ext cx="3067050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/>
  </sheetViews>
  <sheetFormatPr baseColWidth="10" defaultColWidth="11.25" defaultRowHeight="15" customHeight="1"/>
  <cols>
    <col min="1" max="1" width="3.75" customWidth="1"/>
    <col min="2" max="2" width="1.75" customWidth="1"/>
    <col min="3" max="3" width="3.125" customWidth="1"/>
    <col min="4" max="4" width="1.375" customWidth="1"/>
    <col min="5" max="7" width="10.75" customWidth="1"/>
    <col min="8" max="26" width="10.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35" t="s">
        <v>0</v>
      </c>
      <c r="C2" s="136"/>
      <c r="D2" s="136"/>
      <c r="E2" s="136"/>
      <c r="F2" s="136"/>
      <c r="G2" s="13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5"/>
      <c r="D7" s="1"/>
      <c r="E7" s="1" t="s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.75" customHeight="1">
      <c r="A8" s="1"/>
      <c r="B8" s="1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5"/>
      <c r="D9" s="1"/>
      <c r="E9" s="1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1"/>
      <c r="B10" s="1"/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5"/>
      <c r="D11" s="1"/>
      <c r="E11" s="1" t="s">
        <v>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.75" customHeight="1">
      <c r="A12" s="1"/>
      <c r="B12" s="1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5"/>
      <c r="D13" s="1"/>
      <c r="E13" s="1" t="s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.75" customHeight="1">
      <c r="A14" s="1"/>
      <c r="B14" s="1"/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5"/>
      <c r="D15" s="1"/>
      <c r="E15" s="1" t="s">
        <v>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4" t="s">
        <v>8</v>
      </c>
      <c r="C17" s="4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.5" customHeight="1">
      <c r="A18" s="1"/>
      <c r="B18" s="4"/>
      <c r="C18" s="4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5"/>
      <c r="D19" s="1"/>
      <c r="E19" s="1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.75" customHeight="1">
      <c r="A20" s="1"/>
      <c r="B20" s="1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5"/>
      <c r="D21" s="1"/>
      <c r="E21" s="1" t="s">
        <v>10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" t="s">
        <v>11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7" t="s">
        <v>12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5"/>
      <c r="D27" s="1"/>
      <c r="E27" s="1" t="s">
        <v>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.75" customHeight="1">
      <c r="A28" s="1"/>
      <c r="B28" s="1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5"/>
      <c r="D29" s="1"/>
      <c r="E29" s="1" t="s">
        <v>14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.75" customHeight="1">
      <c r="A30" s="1"/>
      <c r="B30" s="1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5"/>
      <c r="D31" s="1"/>
      <c r="E31" s="1" t="s">
        <v>15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.75" customHeight="1">
      <c r="A32" s="1"/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5"/>
      <c r="D33" s="1"/>
      <c r="E33" s="1" t="s">
        <v>16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.75" customHeight="1">
      <c r="A34" s="1"/>
      <c r="B34" s="1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5"/>
      <c r="D35" s="1"/>
      <c r="E35" s="1" t="s">
        <v>17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7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" t="s">
        <v>18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7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5"/>
      <c r="D39" s="1"/>
      <c r="E39" s="1" t="s">
        <v>19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.75" customHeight="1">
      <c r="A40" s="1"/>
      <c r="B40" s="1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5"/>
      <c r="D41" s="1"/>
      <c r="E41" s="1" t="s">
        <v>20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.75" customHeight="1">
      <c r="A42" s="1"/>
      <c r="B42" s="1"/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5"/>
      <c r="D43" s="1"/>
      <c r="E43" s="1" t="s">
        <v>21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.75" customHeight="1">
      <c r="A44" s="1"/>
      <c r="B44" s="1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5"/>
      <c r="D45" s="1"/>
      <c r="E45" s="1" t="s">
        <v>22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.75" customHeight="1">
      <c r="A46" s="1"/>
      <c r="B46" s="1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5"/>
      <c r="D47" s="1"/>
      <c r="E47" s="1" t="s">
        <v>23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7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" t="s">
        <v>24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7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5"/>
      <c r="D51" s="1"/>
      <c r="E51" s="1" t="s">
        <v>25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.75" customHeight="1">
      <c r="A52" s="1"/>
      <c r="B52" s="1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5"/>
      <c r="D53" s="1"/>
      <c r="E53" s="1" t="s">
        <v>26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7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25" right="0.25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showGridLines="0" workbookViewId="0"/>
  </sheetViews>
  <sheetFormatPr baseColWidth="10" defaultColWidth="11.25" defaultRowHeight="15" customHeight="1"/>
  <cols>
    <col min="1" max="1" width="6.375" customWidth="1"/>
    <col min="2" max="2" width="5.75" customWidth="1"/>
    <col min="3" max="3" width="8.125" customWidth="1"/>
    <col min="4" max="4" width="4" customWidth="1"/>
    <col min="5" max="5" width="2.75" customWidth="1"/>
    <col min="6" max="7" width="8.375" customWidth="1"/>
    <col min="8" max="8" width="7.5" customWidth="1"/>
    <col min="9" max="9" width="9.375" customWidth="1"/>
    <col min="10" max="10" width="5.75" customWidth="1"/>
    <col min="11" max="11" width="6.5" customWidth="1"/>
    <col min="12" max="12" width="5.625" customWidth="1"/>
    <col min="13" max="17" width="8.375" customWidth="1"/>
    <col min="18" max="18" width="7.625" customWidth="1"/>
    <col min="19" max="19" width="9.5" customWidth="1"/>
    <col min="20" max="20" width="9.625" customWidth="1"/>
    <col min="21" max="23" width="8.375" customWidth="1"/>
    <col min="24" max="32" width="10.75" customWidth="1"/>
  </cols>
  <sheetData>
    <row r="1" spans="1:32" ht="15.75" customHeight="1"/>
    <row r="2" spans="1:32" ht="15.75" customHeight="1">
      <c r="C2" s="8" t="str">
        <f>'Check List'!B2</f>
        <v>CLIENTE</v>
      </c>
      <c r="D2" s="2"/>
      <c r="E2" s="2"/>
      <c r="F2" s="2"/>
      <c r="G2" s="2"/>
      <c r="H2" s="2"/>
      <c r="I2" s="2"/>
      <c r="L2" s="1"/>
      <c r="M2" s="1"/>
      <c r="N2" s="1"/>
      <c r="O2" s="1"/>
    </row>
    <row r="3" spans="1:32" ht="15.75" customHeight="1">
      <c r="C3" s="9" t="s">
        <v>27</v>
      </c>
      <c r="F3" s="3"/>
      <c r="G3" s="1"/>
      <c r="H3" s="1"/>
      <c r="I3" s="1"/>
      <c r="J3" s="1"/>
      <c r="K3" s="1"/>
      <c r="L3" s="1"/>
      <c r="M3" s="1"/>
      <c r="N3" s="1"/>
      <c r="O3" s="1"/>
    </row>
    <row r="4" spans="1:32" ht="15.75" customHeight="1"/>
    <row r="5" spans="1:32" ht="22.5" customHeight="1">
      <c r="A5" s="1"/>
      <c r="B5" s="156" t="s">
        <v>28</v>
      </c>
      <c r="C5" s="148"/>
      <c r="D5" s="148"/>
      <c r="E5" s="148"/>
      <c r="F5" s="148"/>
      <c r="G5" s="148"/>
      <c r="H5" s="148"/>
      <c r="I5" s="148"/>
      <c r="J5" s="148"/>
      <c r="K5" s="148"/>
      <c r="L5" s="149"/>
      <c r="M5" s="10"/>
      <c r="N5" s="10"/>
      <c r="O5" s="10"/>
      <c r="P5" s="10"/>
      <c r="Q5" s="10"/>
      <c r="R5" s="10"/>
      <c r="S5" s="1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2.5" customHeight="1">
      <c r="E6" s="11" t="s">
        <v>29</v>
      </c>
      <c r="F6" s="157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</row>
    <row r="7" spans="1:32" ht="22.5" customHeight="1">
      <c r="E7" s="11" t="s">
        <v>30</v>
      </c>
      <c r="F7" s="153" t="str">
        <f>C2</f>
        <v>CLIENTE</v>
      </c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</row>
    <row r="8" spans="1:32" ht="22.5" customHeight="1">
      <c r="E8" s="11" t="s">
        <v>31</v>
      </c>
      <c r="F8" s="153"/>
      <c r="G8" s="154"/>
      <c r="H8" s="154"/>
      <c r="J8" s="11" t="s">
        <v>32</v>
      </c>
      <c r="K8" s="153"/>
      <c r="L8" s="154"/>
      <c r="M8" s="154"/>
      <c r="N8" s="154"/>
      <c r="O8" s="154"/>
      <c r="P8" s="154"/>
      <c r="Q8" s="154"/>
      <c r="R8" s="154"/>
      <c r="S8" s="154"/>
    </row>
    <row r="9" spans="1:32" ht="22.5" customHeight="1">
      <c r="E9" s="11" t="s">
        <v>33</v>
      </c>
      <c r="F9" s="157"/>
      <c r="G9" s="158"/>
      <c r="H9" s="158"/>
      <c r="I9" s="158"/>
      <c r="J9" s="158"/>
      <c r="L9" s="11" t="s">
        <v>34</v>
      </c>
      <c r="M9" s="153"/>
      <c r="N9" s="154"/>
      <c r="O9" s="154"/>
      <c r="P9" s="154"/>
      <c r="Q9" s="154"/>
      <c r="R9" s="154"/>
      <c r="S9" s="154"/>
    </row>
    <row r="10" spans="1:32" ht="22.5" customHeight="1">
      <c r="E10" s="11" t="s">
        <v>35</v>
      </c>
      <c r="F10" s="157"/>
      <c r="G10" s="158"/>
      <c r="H10" s="158"/>
      <c r="I10" s="158"/>
      <c r="J10" s="158"/>
      <c r="K10" s="158"/>
      <c r="M10" s="11" t="s">
        <v>36</v>
      </c>
      <c r="N10" s="155"/>
      <c r="O10" s="154"/>
      <c r="P10" s="154"/>
      <c r="Q10" s="154"/>
      <c r="R10" s="154"/>
      <c r="S10" s="154"/>
    </row>
    <row r="11" spans="1:32" ht="22.5" customHeight="1">
      <c r="E11" s="11" t="s">
        <v>37</v>
      </c>
      <c r="F11" s="157"/>
      <c r="G11" s="158"/>
      <c r="H11" s="158"/>
      <c r="I11" s="158"/>
      <c r="J11" s="158"/>
      <c r="K11" s="158"/>
      <c r="L11" s="158"/>
      <c r="N11" s="11" t="s">
        <v>38</v>
      </c>
      <c r="O11" s="155"/>
      <c r="P11" s="154"/>
      <c r="Q11" s="154"/>
      <c r="R11" s="154"/>
      <c r="S11" s="154"/>
    </row>
    <row r="12" spans="1:32" ht="22.5" customHeight="1">
      <c r="E12" s="11" t="s">
        <v>39</v>
      </c>
      <c r="F12" s="13"/>
      <c r="G12" s="11" t="s">
        <v>40</v>
      </c>
      <c r="H12" s="12"/>
      <c r="I12" s="13"/>
      <c r="J12" s="11" t="s">
        <v>41</v>
      </c>
      <c r="K12" s="155"/>
      <c r="L12" s="154"/>
      <c r="N12" s="11"/>
      <c r="O12" s="14"/>
      <c r="P12" s="14"/>
      <c r="Q12" s="14"/>
      <c r="R12" s="14"/>
      <c r="S12" s="14"/>
    </row>
    <row r="13" spans="1:32" ht="22.5" customHeight="1"/>
    <row r="14" spans="1:32" ht="22.5" customHeight="1">
      <c r="B14" s="156" t="s">
        <v>42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9"/>
    </row>
    <row r="15" spans="1:32" ht="3" customHeight="1"/>
    <row r="16" spans="1:32" ht="90.75" customHeight="1">
      <c r="B16" s="159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60"/>
    </row>
    <row r="17" spans="1:32" ht="4.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32" ht="22.5" customHeight="1">
      <c r="B18" s="156" t="s">
        <v>43</v>
      </c>
      <c r="C18" s="148"/>
      <c r="D18" s="148"/>
      <c r="E18" s="148"/>
      <c r="F18" s="148"/>
      <c r="G18" s="148"/>
      <c r="H18" s="148"/>
      <c r="I18" s="148"/>
      <c r="J18" s="148"/>
      <c r="K18" s="149"/>
      <c r="L18" s="15"/>
      <c r="M18" s="156" t="s">
        <v>44</v>
      </c>
      <c r="N18" s="148"/>
      <c r="O18" s="148"/>
      <c r="P18" s="148"/>
      <c r="Q18" s="148"/>
      <c r="R18" s="148"/>
      <c r="S18" s="149"/>
      <c r="T18" s="16"/>
      <c r="U18" s="16"/>
      <c r="V18" s="16"/>
    </row>
    <row r="19" spans="1:32" ht="22.5" customHeight="1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32" ht="22.5" customHeight="1">
      <c r="B20" s="17" t="s">
        <v>45</v>
      </c>
      <c r="C20" s="137" t="s">
        <v>46</v>
      </c>
      <c r="D20" s="138"/>
      <c r="E20" s="138"/>
      <c r="F20" s="138"/>
      <c r="G20" s="139"/>
      <c r="H20" s="18" t="s">
        <v>47</v>
      </c>
      <c r="I20" s="137" t="s">
        <v>48</v>
      </c>
      <c r="J20" s="138"/>
      <c r="K20" s="140"/>
      <c r="L20" s="15"/>
      <c r="M20" s="141" t="s">
        <v>46</v>
      </c>
      <c r="N20" s="138"/>
      <c r="O20" s="138"/>
      <c r="P20" s="139"/>
      <c r="Q20" s="142" t="s">
        <v>49</v>
      </c>
      <c r="R20" s="138"/>
      <c r="S20" s="140"/>
    </row>
    <row r="21" spans="1:32" ht="22.5" customHeight="1">
      <c r="B21" s="14">
        <v>1</v>
      </c>
      <c r="C21" s="136"/>
      <c r="D21" s="136"/>
      <c r="E21" s="136"/>
      <c r="F21" s="136"/>
      <c r="G21" s="136"/>
      <c r="H21" s="19"/>
      <c r="I21" s="143"/>
      <c r="J21" s="136"/>
      <c r="K21" s="136"/>
      <c r="L21" s="15"/>
      <c r="M21" s="144"/>
      <c r="N21" s="145"/>
      <c r="O21" s="145"/>
      <c r="P21" s="145"/>
      <c r="Q21" s="146"/>
      <c r="R21" s="145"/>
      <c r="S21" s="145"/>
    </row>
    <row r="22" spans="1:32" ht="22.5" customHeight="1">
      <c r="B22" s="20">
        <v>2</v>
      </c>
      <c r="C22" s="147"/>
      <c r="D22" s="148"/>
      <c r="E22" s="148"/>
      <c r="F22" s="148"/>
      <c r="G22" s="149"/>
      <c r="H22" s="21"/>
      <c r="I22" s="150"/>
      <c r="J22" s="148"/>
      <c r="K22" s="149"/>
      <c r="L22" s="15"/>
      <c r="M22" s="151"/>
      <c r="N22" s="148"/>
      <c r="O22" s="148"/>
      <c r="P22" s="149"/>
      <c r="Q22" s="152"/>
      <c r="R22" s="148"/>
      <c r="S22" s="149"/>
    </row>
    <row r="23" spans="1:32" ht="22.5" customHeight="1">
      <c r="B23" s="14">
        <v>3</v>
      </c>
      <c r="C23" s="136"/>
      <c r="D23" s="136"/>
      <c r="E23" s="136"/>
      <c r="F23" s="136"/>
      <c r="G23" s="136"/>
      <c r="H23" s="22"/>
      <c r="I23" s="143"/>
      <c r="J23" s="136"/>
      <c r="K23" s="136"/>
      <c r="L23" s="15"/>
      <c r="M23" s="161"/>
      <c r="N23" s="136"/>
      <c r="O23" s="136"/>
      <c r="P23" s="136"/>
      <c r="Q23" s="162"/>
      <c r="R23" s="136"/>
      <c r="S23" s="136"/>
    </row>
    <row r="24" spans="1:32" ht="22.5" customHeight="1">
      <c r="B24" s="20">
        <v>4</v>
      </c>
      <c r="C24" s="147"/>
      <c r="D24" s="148"/>
      <c r="E24" s="148"/>
      <c r="F24" s="148"/>
      <c r="G24" s="149"/>
      <c r="H24" s="21"/>
      <c r="I24" s="150"/>
      <c r="J24" s="148"/>
      <c r="K24" s="149"/>
      <c r="L24" s="15"/>
      <c r="M24" s="163"/>
      <c r="N24" s="164"/>
      <c r="O24" s="164"/>
      <c r="P24" s="165"/>
      <c r="Q24" s="166"/>
      <c r="R24" s="164"/>
      <c r="S24" s="165"/>
    </row>
    <row r="25" spans="1:32" ht="22.5" customHeight="1">
      <c r="B25" s="14">
        <v>5</v>
      </c>
      <c r="C25" s="136"/>
      <c r="D25" s="136"/>
      <c r="E25" s="136"/>
      <c r="F25" s="136"/>
      <c r="G25" s="136"/>
      <c r="H25" s="22"/>
      <c r="I25" s="143"/>
      <c r="J25" s="136"/>
      <c r="K25" s="136"/>
      <c r="L25" s="15"/>
      <c r="M25" s="15"/>
      <c r="N25" s="15"/>
      <c r="O25" s="15"/>
      <c r="P25" s="15"/>
      <c r="Q25" s="15"/>
      <c r="R25" s="15"/>
      <c r="S25" s="15"/>
    </row>
    <row r="26" spans="1:32" ht="22.5" customHeight="1">
      <c r="B26" s="23">
        <v>6</v>
      </c>
      <c r="C26" s="167"/>
      <c r="D26" s="164"/>
      <c r="E26" s="164"/>
      <c r="F26" s="164"/>
      <c r="G26" s="165"/>
      <c r="H26" s="24"/>
      <c r="I26" s="168"/>
      <c r="J26" s="164"/>
      <c r="K26" s="165"/>
    </row>
    <row r="27" spans="1:32" ht="22.5" customHeight="1"/>
    <row r="28" spans="1:32" ht="22.5" customHeight="1">
      <c r="A28" s="1"/>
      <c r="B28" s="156" t="s">
        <v>50</v>
      </c>
      <c r="C28" s="148"/>
      <c r="D28" s="148"/>
      <c r="E28" s="148"/>
      <c r="F28" s="148"/>
      <c r="G28" s="148"/>
      <c r="H28" s="148"/>
      <c r="I28" s="148"/>
      <c r="J28" s="148"/>
      <c r="K28" s="148"/>
      <c r="L28" s="149"/>
      <c r="M28" s="10"/>
      <c r="N28" s="10"/>
      <c r="O28" s="10"/>
      <c r="P28" s="10"/>
      <c r="Q28" s="10"/>
      <c r="R28" s="10"/>
      <c r="S28" s="1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2.5" customHeight="1">
      <c r="E29" s="11" t="s">
        <v>51</v>
      </c>
      <c r="F29" s="169"/>
      <c r="G29" s="158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32" ht="22.5" customHeight="1">
      <c r="E30" s="11" t="s">
        <v>52</v>
      </c>
      <c r="F30" s="153"/>
      <c r="G30" s="15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32" ht="22.5" customHeight="1">
      <c r="E31" s="11" t="s">
        <v>53</v>
      </c>
      <c r="F31" s="153"/>
      <c r="G31" s="15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32" ht="22.5" customHeight="1">
      <c r="E32" s="11" t="s">
        <v>54</v>
      </c>
      <c r="F32" s="157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</row>
    <row r="33" spans="1:32" ht="22.5" customHeight="1">
      <c r="E33" s="11" t="s">
        <v>55</v>
      </c>
      <c r="F33" s="191"/>
      <c r="G33" s="154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32" ht="22.5" customHeight="1">
      <c r="E34" s="11" t="s">
        <v>56</v>
      </c>
      <c r="F34" s="157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</row>
    <row r="35" spans="1:32" ht="22.5" customHeight="1">
      <c r="E35" s="11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32" ht="22.5" customHeight="1">
      <c r="B36" s="156" t="s">
        <v>57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9"/>
    </row>
    <row r="37" spans="1:32" ht="22.5" customHeight="1">
      <c r="E37" s="25" t="s">
        <v>58</v>
      </c>
      <c r="F37" s="194"/>
      <c r="G37" s="158"/>
      <c r="J37" s="25" t="s">
        <v>59</v>
      </c>
      <c r="K37" s="192"/>
      <c r="L37" s="158"/>
      <c r="O37" s="25" t="s">
        <v>60</v>
      </c>
      <c r="P37" s="193"/>
      <c r="Q37" s="158"/>
    </row>
    <row r="38" spans="1:32" ht="22.5" customHeight="1">
      <c r="E38" s="11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32" ht="22.5" customHeight="1">
      <c r="B39" s="156" t="s">
        <v>61</v>
      </c>
      <c r="C39" s="148"/>
      <c r="D39" s="148"/>
      <c r="E39" s="148"/>
      <c r="F39" s="148"/>
      <c r="G39" s="148"/>
      <c r="H39" s="148"/>
      <c r="I39" s="148"/>
      <c r="J39" s="148"/>
      <c r="K39" s="149"/>
      <c r="L39" s="14"/>
      <c r="M39" s="156" t="s">
        <v>62</v>
      </c>
      <c r="N39" s="148"/>
      <c r="O39" s="148"/>
      <c r="P39" s="148"/>
      <c r="Q39" s="148"/>
      <c r="R39" s="148"/>
      <c r="S39" s="149"/>
    </row>
    <row r="40" spans="1:32" ht="22.5" customHeight="1">
      <c r="J40" s="14"/>
      <c r="K40" s="14"/>
      <c r="L40" s="14"/>
    </row>
    <row r="41" spans="1:32" ht="22.5" customHeight="1">
      <c r="B41" s="195" t="s">
        <v>46</v>
      </c>
      <c r="C41" s="148"/>
      <c r="D41" s="148"/>
      <c r="E41" s="148"/>
      <c r="F41" s="148"/>
      <c r="G41" s="148"/>
      <c r="H41" s="149"/>
      <c r="I41" s="176" t="s">
        <v>63</v>
      </c>
      <c r="J41" s="148"/>
      <c r="K41" s="149"/>
      <c r="M41" s="141" t="s">
        <v>64</v>
      </c>
      <c r="N41" s="138"/>
      <c r="O41" s="138"/>
      <c r="P41" s="138"/>
      <c r="Q41" s="139"/>
      <c r="R41" s="137" t="s">
        <v>63</v>
      </c>
      <c r="S41" s="140"/>
    </row>
    <row r="42" spans="1:32" ht="22.5" customHeight="1">
      <c r="A42" s="1"/>
      <c r="B42" s="170"/>
      <c r="C42" s="136"/>
      <c r="D42" s="136"/>
      <c r="E42" s="136"/>
      <c r="F42" s="136"/>
      <c r="G42" s="136"/>
      <c r="H42" s="171"/>
      <c r="I42" s="196"/>
      <c r="J42" s="136"/>
      <c r="K42" s="136"/>
      <c r="L42" s="1"/>
      <c r="M42" s="170"/>
      <c r="N42" s="136"/>
      <c r="O42" s="136"/>
      <c r="P42" s="136"/>
      <c r="Q42" s="136"/>
      <c r="R42" s="197"/>
      <c r="S42" s="14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22.5" customHeight="1">
      <c r="B43" s="172"/>
      <c r="C43" s="148"/>
      <c r="D43" s="148"/>
      <c r="E43" s="148"/>
      <c r="F43" s="148"/>
      <c r="G43" s="148"/>
      <c r="H43" s="173"/>
      <c r="I43" s="198"/>
      <c r="J43" s="148"/>
      <c r="K43" s="149"/>
      <c r="M43" s="172"/>
      <c r="N43" s="148"/>
      <c r="O43" s="148"/>
      <c r="P43" s="148"/>
      <c r="Q43" s="149"/>
      <c r="R43" s="199"/>
      <c r="S43" s="149"/>
    </row>
    <row r="44" spans="1:32" ht="22.5" customHeight="1">
      <c r="A44" s="1"/>
      <c r="B44" s="170"/>
      <c r="C44" s="136"/>
      <c r="D44" s="136"/>
      <c r="E44" s="136"/>
      <c r="F44" s="136"/>
      <c r="G44" s="136"/>
      <c r="H44" s="171"/>
      <c r="I44" s="196"/>
      <c r="J44" s="136"/>
      <c r="K44" s="136"/>
      <c r="L44" s="1"/>
      <c r="M44" s="170"/>
      <c r="N44" s="136"/>
      <c r="O44" s="136"/>
      <c r="P44" s="136"/>
      <c r="Q44" s="136"/>
      <c r="R44" s="201"/>
      <c r="S44" s="136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22.5" customHeight="1">
      <c r="B45" s="174"/>
      <c r="C45" s="164"/>
      <c r="D45" s="164"/>
      <c r="E45" s="164"/>
      <c r="F45" s="164"/>
      <c r="G45" s="164"/>
      <c r="H45" s="175"/>
      <c r="I45" s="202"/>
      <c r="J45" s="164"/>
      <c r="K45" s="165"/>
      <c r="M45" s="174"/>
      <c r="N45" s="164"/>
      <c r="O45" s="164"/>
      <c r="P45" s="164"/>
      <c r="Q45" s="165"/>
      <c r="R45" s="200"/>
      <c r="S45" s="165"/>
    </row>
    <row r="46" spans="1:32" ht="22.5" customHeight="1">
      <c r="B46" s="170"/>
      <c r="C46" s="136"/>
      <c r="D46" s="136"/>
      <c r="E46" s="136"/>
      <c r="F46" s="136"/>
      <c r="G46" s="136"/>
      <c r="H46" s="136"/>
      <c r="I46" s="196"/>
      <c r="J46" s="136"/>
      <c r="K46" s="136"/>
    </row>
    <row r="47" spans="1:32" ht="22.5" customHeight="1">
      <c r="B47" s="203" t="s">
        <v>65</v>
      </c>
      <c r="C47" s="136"/>
      <c r="D47" s="136"/>
      <c r="E47" s="136"/>
      <c r="F47" s="136"/>
      <c r="G47" s="136"/>
      <c r="H47" s="136"/>
      <c r="I47" s="196"/>
      <c r="J47" s="136"/>
      <c r="K47" s="136"/>
    </row>
    <row r="48" spans="1:32" ht="22.5" customHeight="1">
      <c r="B48" s="176" t="s">
        <v>46</v>
      </c>
      <c r="C48" s="148"/>
      <c r="D48" s="148"/>
      <c r="E48" s="148"/>
      <c r="F48" s="148"/>
      <c r="G48" s="148"/>
      <c r="H48" s="149"/>
      <c r="I48" s="176" t="s">
        <v>66</v>
      </c>
      <c r="J48" s="148"/>
      <c r="K48" s="149"/>
    </row>
    <row r="49" spans="1:32" ht="22.5" customHeight="1">
      <c r="B49" s="170"/>
      <c r="C49" s="136"/>
      <c r="D49" s="136"/>
      <c r="E49" s="136"/>
      <c r="F49" s="136"/>
      <c r="G49" s="136"/>
      <c r="H49" s="171"/>
      <c r="I49" s="170"/>
      <c r="J49" s="136"/>
      <c r="K49" s="136"/>
    </row>
    <row r="50" spans="1:32" ht="22.5" customHeight="1">
      <c r="B50" s="172"/>
      <c r="C50" s="148"/>
      <c r="D50" s="148"/>
      <c r="E50" s="148"/>
      <c r="F50" s="148"/>
      <c r="G50" s="148"/>
      <c r="H50" s="173"/>
      <c r="I50" s="172"/>
      <c r="J50" s="148"/>
      <c r="K50" s="149"/>
    </row>
    <row r="51" spans="1:32" ht="22.5" customHeight="1">
      <c r="B51" s="170"/>
      <c r="C51" s="136"/>
      <c r="D51" s="136"/>
      <c r="E51" s="136"/>
      <c r="F51" s="136"/>
      <c r="G51" s="136"/>
      <c r="H51" s="171"/>
      <c r="I51" s="170"/>
      <c r="J51" s="136"/>
      <c r="K51" s="136"/>
    </row>
    <row r="52" spans="1:32" ht="22.5" customHeight="1">
      <c r="A52" s="1"/>
      <c r="B52" s="174"/>
      <c r="C52" s="164"/>
      <c r="D52" s="164"/>
      <c r="E52" s="164"/>
      <c r="F52" s="164"/>
      <c r="G52" s="164"/>
      <c r="H52" s="175"/>
      <c r="I52" s="174"/>
      <c r="J52" s="164"/>
      <c r="K52" s="16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22.5" customHeight="1"/>
    <row r="54" spans="1:32" ht="22.5" customHeight="1">
      <c r="A54" s="1"/>
      <c r="B54" s="156" t="s">
        <v>67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9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22.5" customHeight="1"/>
    <row r="56" spans="1:32" ht="28.5" customHeight="1">
      <c r="A56" s="14"/>
      <c r="B56" s="176" t="s">
        <v>68</v>
      </c>
      <c r="C56" s="148"/>
      <c r="D56" s="148"/>
      <c r="E56" s="148"/>
      <c r="F56" s="149"/>
      <c r="G56" s="176" t="s">
        <v>69</v>
      </c>
      <c r="H56" s="148"/>
      <c r="I56" s="149"/>
      <c r="J56" s="176" t="s">
        <v>70</v>
      </c>
      <c r="K56" s="148"/>
      <c r="L56" s="148"/>
      <c r="M56" s="148"/>
      <c r="N56" s="149"/>
      <c r="O56" s="27" t="s">
        <v>71</v>
      </c>
      <c r="P56" s="27" t="s">
        <v>72</v>
      </c>
      <c r="Q56" s="176" t="s">
        <v>73</v>
      </c>
      <c r="R56" s="149"/>
      <c r="S56" s="28" t="s">
        <v>74</v>
      </c>
      <c r="T56" s="28" t="s">
        <v>75</v>
      </c>
      <c r="U56" s="14"/>
      <c r="V56" s="14"/>
      <c r="W56" s="14"/>
      <c r="X56" s="29"/>
      <c r="Y56" s="29"/>
      <c r="Z56" s="29"/>
      <c r="AA56" s="29"/>
      <c r="AB56" s="29"/>
      <c r="AC56" s="29"/>
      <c r="AD56" s="29"/>
      <c r="AE56" s="29" t="s">
        <v>76</v>
      </c>
      <c r="AF56" s="14"/>
    </row>
    <row r="57" spans="1:32" ht="22.5" customHeight="1">
      <c r="B57" s="177"/>
      <c r="C57" s="136"/>
      <c r="D57" s="136"/>
      <c r="E57" s="136"/>
      <c r="F57" s="171"/>
      <c r="G57" s="178"/>
      <c r="H57" s="136"/>
      <c r="I57" s="171"/>
      <c r="J57" s="179"/>
      <c r="K57" s="136"/>
      <c r="L57" s="136"/>
      <c r="M57" s="136"/>
      <c r="N57" s="171"/>
      <c r="O57" s="30"/>
      <c r="P57" s="31"/>
      <c r="Q57" s="180"/>
      <c r="R57" s="171"/>
      <c r="S57" s="32"/>
      <c r="T57" s="26"/>
    </row>
    <row r="58" spans="1:32" ht="22.5" customHeight="1">
      <c r="B58" s="181"/>
      <c r="C58" s="148"/>
      <c r="D58" s="148"/>
      <c r="E58" s="148"/>
      <c r="F58" s="173"/>
      <c r="G58" s="182"/>
      <c r="H58" s="148"/>
      <c r="I58" s="173"/>
      <c r="J58" s="183"/>
      <c r="K58" s="148"/>
      <c r="L58" s="148"/>
      <c r="M58" s="148"/>
      <c r="N58" s="173"/>
      <c r="O58" s="33"/>
      <c r="P58" s="34"/>
      <c r="Q58" s="184"/>
      <c r="R58" s="173"/>
      <c r="S58" s="35"/>
      <c r="T58" s="36"/>
    </row>
    <row r="59" spans="1:32" ht="22.5" customHeight="1">
      <c r="B59" s="177"/>
      <c r="C59" s="136"/>
      <c r="D59" s="136"/>
      <c r="E59" s="136"/>
      <c r="F59" s="171"/>
      <c r="G59" s="178"/>
      <c r="H59" s="136"/>
      <c r="I59" s="171"/>
      <c r="J59" s="179"/>
      <c r="K59" s="136"/>
      <c r="L59" s="136"/>
      <c r="M59" s="136"/>
      <c r="N59" s="171"/>
      <c r="O59" s="30"/>
      <c r="P59" s="31"/>
      <c r="Q59" s="180"/>
      <c r="R59" s="171"/>
      <c r="S59" s="32"/>
      <c r="T59" s="26"/>
    </row>
    <row r="60" spans="1:32" ht="22.5" customHeight="1">
      <c r="B60" s="181"/>
      <c r="C60" s="148"/>
      <c r="D60" s="148"/>
      <c r="E60" s="148"/>
      <c r="F60" s="173"/>
      <c r="G60" s="182"/>
      <c r="H60" s="148"/>
      <c r="I60" s="173"/>
      <c r="J60" s="183"/>
      <c r="K60" s="148"/>
      <c r="L60" s="148"/>
      <c r="M60" s="148"/>
      <c r="N60" s="173"/>
      <c r="O60" s="33"/>
      <c r="P60" s="34"/>
      <c r="Q60" s="184"/>
      <c r="R60" s="173"/>
      <c r="S60" s="35"/>
      <c r="T60" s="36"/>
    </row>
    <row r="61" spans="1:32" ht="22.5" customHeight="1">
      <c r="B61" s="177"/>
      <c r="C61" s="136"/>
      <c r="D61" s="136"/>
      <c r="E61" s="136"/>
      <c r="F61" s="171"/>
      <c r="G61" s="178"/>
      <c r="H61" s="136"/>
      <c r="I61" s="171"/>
      <c r="J61" s="179"/>
      <c r="K61" s="136"/>
      <c r="L61" s="136"/>
      <c r="M61" s="136"/>
      <c r="N61" s="171"/>
      <c r="O61" s="30"/>
      <c r="P61" s="31"/>
      <c r="Q61" s="180"/>
      <c r="R61" s="171"/>
      <c r="S61" s="32"/>
      <c r="T61" s="26"/>
    </row>
    <row r="62" spans="1:32" ht="22.5" customHeight="1">
      <c r="B62" s="185"/>
      <c r="C62" s="164"/>
      <c r="D62" s="164"/>
      <c r="E62" s="164"/>
      <c r="F62" s="175"/>
      <c r="G62" s="186"/>
      <c r="H62" s="164"/>
      <c r="I62" s="175"/>
      <c r="J62" s="187"/>
      <c r="K62" s="164"/>
      <c r="L62" s="164"/>
      <c r="M62" s="164"/>
      <c r="N62" s="175"/>
      <c r="O62" s="37"/>
      <c r="P62" s="38"/>
      <c r="Q62" s="188"/>
      <c r="R62" s="175"/>
      <c r="S62" s="39"/>
      <c r="T62" s="40"/>
    </row>
    <row r="63" spans="1:32" ht="21.75" customHeight="1">
      <c r="Q63" s="189">
        <f>SUM(Q57:R62)</f>
        <v>0</v>
      </c>
      <c r="R63" s="190"/>
    </row>
    <row r="64" spans="1:32" ht="21.75" customHeight="1"/>
    <row r="65" ht="21.75" customHeight="1"/>
    <row r="66" ht="21.75" customHeight="1"/>
    <row r="67" ht="21.75" customHeight="1"/>
    <row r="68" ht="21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B46:H46"/>
    <mergeCell ref="I46:K46"/>
    <mergeCell ref="B47:H47"/>
    <mergeCell ref="I47:K47"/>
    <mergeCell ref="B48:H48"/>
    <mergeCell ref="I48:K48"/>
    <mergeCell ref="I49:K49"/>
    <mergeCell ref="Q60:R60"/>
    <mergeCell ref="Q61:R61"/>
    <mergeCell ref="B42:H42"/>
    <mergeCell ref="I42:K42"/>
    <mergeCell ref="M42:Q42"/>
    <mergeCell ref="R42:S42"/>
    <mergeCell ref="I43:K43"/>
    <mergeCell ref="M43:Q43"/>
    <mergeCell ref="R43:S43"/>
    <mergeCell ref="M45:Q45"/>
    <mergeCell ref="R45:S45"/>
    <mergeCell ref="B43:H43"/>
    <mergeCell ref="B44:H44"/>
    <mergeCell ref="I44:K44"/>
    <mergeCell ref="M44:Q44"/>
    <mergeCell ref="R44:S44"/>
    <mergeCell ref="B45:H45"/>
    <mergeCell ref="I45:K45"/>
    <mergeCell ref="B62:F62"/>
    <mergeCell ref="G62:I62"/>
    <mergeCell ref="J62:N62"/>
    <mergeCell ref="Q62:R62"/>
    <mergeCell ref="Q63:R63"/>
    <mergeCell ref="B59:F59"/>
    <mergeCell ref="B60:F60"/>
    <mergeCell ref="G60:I60"/>
    <mergeCell ref="J60:N60"/>
    <mergeCell ref="B61:F61"/>
    <mergeCell ref="G61:I61"/>
    <mergeCell ref="J61:N61"/>
    <mergeCell ref="G59:I59"/>
    <mergeCell ref="J59:N59"/>
    <mergeCell ref="Q56:R56"/>
    <mergeCell ref="Q57:R57"/>
    <mergeCell ref="B58:F58"/>
    <mergeCell ref="G58:I58"/>
    <mergeCell ref="J58:N58"/>
    <mergeCell ref="Q58:R58"/>
    <mergeCell ref="Q59:R59"/>
    <mergeCell ref="B51:H51"/>
    <mergeCell ref="I51:K51"/>
    <mergeCell ref="I52:K52"/>
    <mergeCell ref="B54:S54"/>
    <mergeCell ref="B52:H52"/>
    <mergeCell ref="B56:F56"/>
    <mergeCell ref="G56:I56"/>
    <mergeCell ref="J56:N56"/>
    <mergeCell ref="B57:F57"/>
    <mergeCell ref="G57:I57"/>
    <mergeCell ref="J57:N57"/>
    <mergeCell ref="C25:G25"/>
    <mergeCell ref="I25:K25"/>
    <mergeCell ref="C26:G26"/>
    <mergeCell ref="I26:K26"/>
    <mergeCell ref="B28:L28"/>
    <mergeCell ref="F29:G29"/>
    <mergeCell ref="F30:G30"/>
    <mergeCell ref="B49:H49"/>
    <mergeCell ref="B50:H50"/>
    <mergeCell ref="I50:K50"/>
    <mergeCell ref="F31:G31"/>
    <mergeCell ref="F32:S32"/>
    <mergeCell ref="F33:G33"/>
    <mergeCell ref="F34:S34"/>
    <mergeCell ref="B36:S36"/>
    <mergeCell ref="K37:L37"/>
    <mergeCell ref="P37:Q37"/>
    <mergeCell ref="F37:G37"/>
    <mergeCell ref="B39:K39"/>
    <mergeCell ref="M39:S39"/>
    <mergeCell ref="B41:H41"/>
    <mergeCell ref="I41:K41"/>
    <mergeCell ref="M41:Q41"/>
    <mergeCell ref="R41:S41"/>
    <mergeCell ref="C23:G23"/>
    <mergeCell ref="C24:G24"/>
    <mergeCell ref="M9:S9"/>
    <mergeCell ref="N10:S10"/>
    <mergeCell ref="B5:L5"/>
    <mergeCell ref="F6:S6"/>
    <mergeCell ref="F7:S7"/>
    <mergeCell ref="F8:H8"/>
    <mergeCell ref="K8:S8"/>
    <mergeCell ref="F9:J9"/>
    <mergeCell ref="F10:K10"/>
    <mergeCell ref="F11:L11"/>
    <mergeCell ref="O11:S11"/>
    <mergeCell ref="K12:L12"/>
    <mergeCell ref="B14:S14"/>
    <mergeCell ref="B16:S16"/>
    <mergeCell ref="B18:K18"/>
    <mergeCell ref="M18:S18"/>
    <mergeCell ref="M23:P23"/>
    <mergeCell ref="Q23:S23"/>
    <mergeCell ref="I23:K23"/>
    <mergeCell ref="I24:K24"/>
    <mergeCell ref="M24:P24"/>
    <mergeCell ref="Q24:S24"/>
    <mergeCell ref="C20:G20"/>
    <mergeCell ref="I20:K20"/>
    <mergeCell ref="M20:P20"/>
    <mergeCell ref="Q20:S20"/>
    <mergeCell ref="I21:K21"/>
    <mergeCell ref="M21:P21"/>
    <mergeCell ref="Q21:S21"/>
    <mergeCell ref="C21:G21"/>
    <mergeCell ref="C22:G22"/>
    <mergeCell ref="I22:K22"/>
    <mergeCell ref="M22:P22"/>
    <mergeCell ref="Q22:S22"/>
  </mergeCells>
  <pageMargins left="0.25" right="0.25" top="0.75" bottom="0.75" header="0" footer="0"/>
  <pageSetup scale="5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25" defaultRowHeight="15" customHeight="1"/>
  <cols>
    <col min="1" max="1" width="10.75" customWidth="1"/>
    <col min="2" max="2" width="6.625" customWidth="1"/>
    <col min="3" max="3" width="10.75" customWidth="1"/>
    <col min="4" max="5" width="15.625" customWidth="1"/>
    <col min="6" max="6" width="15.75" customWidth="1"/>
    <col min="7" max="7" width="0.625" customWidth="1"/>
    <col min="8" max="9" width="15.125" customWidth="1"/>
    <col min="10" max="10" width="15.75" customWidth="1"/>
    <col min="11" max="11" width="0.625" customWidth="1"/>
    <col min="12" max="12" width="15.625" customWidth="1"/>
    <col min="13" max="13" width="16.125" customWidth="1"/>
    <col min="14" max="14" width="15.75" customWidth="1"/>
    <col min="15" max="15" width="0.625" customWidth="1"/>
    <col min="16" max="18" width="19.125" customWidth="1"/>
    <col min="19" max="26" width="10.5" customWidth="1"/>
  </cols>
  <sheetData>
    <row r="1" spans="1:26" ht="15.75" customHeigh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5.75" customHeight="1">
      <c r="A2" s="41"/>
      <c r="B2" s="204" t="s">
        <v>77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9"/>
      <c r="S2" s="41"/>
      <c r="T2" s="41"/>
      <c r="U2" s="41"/>
      <c r="V2" s="41"/>
      <c r="W2" s="41"/>
      <c r="X2" s="41"/>
      <c r="Y2" s="41"/>
      <c r="Z2" s="41"/>
    </row>
    <row r="3" spans="1:26" ht="15.7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5.75" customHeight="1">
      <c r="A4" s="42"/>
      <c r="B4" s="42"/>
      <c r="C4" s="42"/>
      <c r="D4" s="205" t="s">
        <v>78</v>
      </c>
      <c r="E4" s="148"/>
      <c r="F4" s="149"/>
      <c r="G4" s="42"/>
      <c r="H4" s="205" t="s">
        <v>79</v>
      </c>
      <c r="I4" s="148"/>
      <c r="J4" s="149"/>
      <c r="K4" s="42"/>
      <c r="L4" s="205" t="s">
        <v>78</v>
      </c>
      <c r="M4" s="148"/>
      <c r="N4" s="149"/>
      <c r="O4" s="42"/>
      <c r="P4" s="205" t="s">
        <v>80</v>
      </c>
      <c r="Q4" s="148"/>
      <c r="R4" s="149"/>
      <c r="S4" s="42"/>
      <c r="T4" s="42"/>
      <c r="U4" s="42"/>
      <c r="V4" s="42"/>
      <c r="W4" s="42"/>
      <c r="X4" s="42"/>
      <c r="Y4" s="42"/>
      <c r="Z4" s="42"/>
    </row>
    <row r="5" spans="1:26" ht="15.75" customHeight="1">
      <c r="A5" s="41"/>
      <c r="B5" s="43" t="s">
        <v>81</v>
      </c>
      <c r="C5" s="43" t="s">
        <v>82</v>
      </c>
      <c r="D5" s="43" t="s">
        <v>83</v>
      </c>
      <c r="E5" s="43" t="s">
        <v>84</v>
      </c>
      <c r="F5" s="43" t="s">
        <v>85</v>
      </c>
      <c r="G5" s="41"/>
      <c r="H5" s="43" t="s">
        <v>83</v>
      </c>
      <c r="I5" s="43" t="s">
        <v>84</v>
      </c>
      <c r="J5" s="43" t="s">
        <v>85</v>
      </c>
      <c r="K5" s="41"/>
      <c r="L5" s="43" t="s">
        <v>83</v>
      </c>
      <c r="M5" s="43" t="s">
        <v>84</v>
      </c>
      <c r="N5" s="43" t="s">
        <v>85</v>
      </c>
      <c r="O5" s="41"/>
      <c r="P5" s="43" t="s">
        <v>83</v>
      </c>
      <c r="Q5" s="43" t="s">
        <v>84</v>
      </c>
      <c r="R5" s="43" t="s">
        <v>85</v>
      </c>
      <c r="S5" s="41"/>
      <c r="T5" s="41"/>
      <c r="U5" s="41"/>
      <c r="V5" s="41"/>
      <c r="W5" s="41"/>
      <c r="X5" s="41"/>
      <c r="Y5" s="41"/>
      <c r="Z5" s="41"/>
    </row>
    <row r="6" spans="1:26" ht="15.75" customHeight="1">
      <c r="A6" s="41"/>
      <c r="B6" s="44">
        <v>2020</v>
      </c>
      <c r="C6" s="41" t="s">
        <v>86</v>
      </c>
      <c r="D6" s="45"/>
      <c r="E6" s="45"/>
      <c r="F6" s="45"/>
      <c r="G6" s="46"/>
      <c r="H6" s="46"/>
      <c r="I6" s="46"/>
      <c r="J6" s="46">
        <v>0</v>
      </c>
      <c r="K6" s="46"/>
      <c r="L6" s="46"/>
      <c r="M6" s="46"/>
      <c r="N6" s="46">
        <v>0</v>
      </c>
      <c r="O6" s="47"/>
      <c r="P6" s="47">
        <f t="shared" ref="P6:R6" si="0">D6+H6+L6</f>
        <v>0</v>
      </c>
      <c r="Q6" s="47">
        <f t="shared" si="0"/>
        <v>0</v>
      </c>
      <c r="R6" s="47">
        <f t="shared" si="0"/>
        <v>0</v>
      </c>
      <c r="S6" s="41"/>
      <c r="T6" s="41"/>
      <c r="U6" s="41"/>
      <c r="V6" s="41"/>
      <c r="W6" s="41"/>
      <c r="X6" s="41"/>
      <c r="Y6" s="41"/>
      <c r="Z6" s="41"/>
    </row>
    <row r="7" spans="1:26" ht="15.75" customHeight="1">
      <c r="A7" s="41"/>
      <c r="B7" s="44">
        <v>2020</v>
      </c>
      <c r="C7" s="41" t="s">
        <v>87</v>
      </c>
      <c r="D7" s="45"/>
      <c r="E7" s="45"/>
      <c r="F7" s="45"/>
      <c r="G7" s="46"/>
      <c r="H7" s="46"/>
      <c r="I7" s="46"/>
      <c r="J7" s="46"/>
      <c r="K7" s="46"/>
      <c r="L7" s="46"/>
      <c r="M7" s="46"/>
      <c r="N7" s="46"/>
      <c r="O7" s="47"/>
      <c r="P7" s="47">
        <f t="shared" ref="P7:R7" si="1">D7+H7+L7</f>
        <v>0</v>
      </c>
      <c r="Q7" s="47">
        <f t="shared" si="1"/>
        <v>0</v>
      </c>
      <c r="R7" s="47">
        <f t="shared" si="1"/>
        <v>0</v>
      </c>
      <c r="S7" s="41"/>
      <c r="T7" s="41"/>
      <c r="U7" s="41"/>
      <c r="V7" s="41"/>
      <c r="W7" s="41"/>
      <c r="X7" s="41"/>
      <c r="Y7" s="41"/>
      <c r="Z7" s="41"/>
    </row>
    <row r="8" spans="1:26" ht="15.75" customHeight="1">
      <c r="A8" s="41"/>
      <c r="B8" s="44">
        <v>2020</v>
      </c>
      <c r="C8" s="41" t="s">
        <v>88</v>
      </c>
      <c r="D8" s="45"/>
      <c r="E8" s="45"/>
      <c r="F8" s="45"/>
      <c r="G8" s="46"/>
      <c r="H8" s="46"/>
      <c r="I8" s="46"/>
      <c r="J8" s="46"/>
      <c r="K8" s="46"/>
      <c r="L8" s="46"/>
      <c r="M8" s="46"/>
      <c r="N8" s="46"/>
      <c r="O8" s="47"/>
      <c r="P8" s="47">
        <f t="shared" ref="P8:R8" si="2">D8+H8+L8</f>
        <v>0</v>
      </c>
      <c r="Q8" s="47">
        <f t="shared" si="2"/>
        <v>0</v>
      </c>
      <c r="R8" s="47">
        <f t="shared" si="2"/>
        <v>0</v>
      </c>
      <c r="S8" s="41"/>
      <c r="T8" s="41"/>
      <c r="U8" s="41"/>
      <c r="V8" s="41"/>
      <c r="W8" s="41"/>
      <c r="X8" s="41"/>
      <c r="Y8" s="41"/>
      <c r="Z8" s="41"/>
    </row>
    <row r="9" spans="1:26" ht="15.75" customHeight="1">
      <c r="A9" s="41"/>
      <c r="B9" s="44">
        <v>2020</v>
      </c>
      <c r="C9" s="41" t="s">
        <v>89</v>
      </c>
      <c r="D9" s="45"/>
      <c r="E9" s="45"/>
      <c r="F9" s="45"/>
      <c r="G9" s="46"/>
      <c r="H9" s="45"/>
      <c r="I9" s="45"/>
      <c r="J9" s="45"/>
      <c r="K9" s="46"/>
      <c r="L9" s="46"/>
      <c r="M9" s="46"/>
      <c r="N9" s="46"/>
      <c r="O9" s="47"/>
      <c r="P9" s="47">
        <f t="shared" ref="P9:R9" si="3">D9+H9+L9</f>
        <v>0</v>
      </c>
      <c r="Q9" s="47">
        <f t="shared" si="3"/>
        <v>0</v>
      </c>
      <c r="R9" s="47">
        <f t="shared" si="3"/>
        <v>0</v>
      </c>
      <c r="S9" s="41"/>
      <c r="T9" s="41"/>
      <c r="U9" s="41"/>
      <c r="V9" s="41"/>
      <c r="W9" s="41"/>
      <c r="X9" s="41"/>
      <c r="Y9" s="41"/>
      <c r="Z9" s="41"/>
    </row>
    <row r="10" spans="1:26" ht="15.75" customHeight="1">
      <c r="A10" s="41"/>
      <c r="B10" s="44">
        <v>2020</v>
      </c>
      <c r="C10" s="41" t="s">
        <v>90</v>
      </c>
      <c r="D10" s="45"/>
      <c r="E10" s="45"/>
      <c r="F10" s="45"/>
      <c r="G10" s="46"/>
      <c r="H10" s="46"/>
      <c r="I10" s="46"/>
      <c r="J10" s="46"/>
      <c r="K10" s="46"/>
      <c r="L10" s="46"/>
      <c r="M10" s="46"/>
      <c r="N10" s="46"/>
      <c r="O10" s="47"/>
      <c r="P10" s="47">
        <f t="shared" ref="P10:R10" si="4">D10+H10+L10</f>
        <v>0</v>
      </c>
      <c r="Q10" s="47">
        <f t="shared" si="4"/>
        <v>0</v>
      </c>
      <c r="R10" s="47">
        <f t="shared" si="4"/>
        <v>0</v>
      </c>
      <c r="S10" s="41"/>
      <c r="T10" s="41"/>
      <c r="U10" s="41"/>
      <c r="V10" s="41"/>
      <c r="W10" s="41"/>
      <c r="X10" s="41"/>
      <c r="Y10" s="41"/>
      <c r="Z10" s="41"/>
    </row>
    <row r="11" spans="1:26" ht="15.75" customHeight="1">
      <c r="A11" s="41"/>
      <c r="B11" s="44">
        <v>2020</v>
      </c>
      <c r="C11" s="41" t="s">
        <v>91</v>
      </c>
      <c r="D11" s="45"/>
      <c r="E11" s="45"/>
      <c r="F11" s="45"/>
      <c r="G11" s="46"/>
      <c r="H11" s="46"/>
      <c r="I11" s="46"/>
      <c r="J11" s="46"/>
      <c r="K11" s="46"/>
      <c r="L11" s="46"/>
      <c r="M11" s="46"/>
      <c r="N11" s="46"/>
      <c r="O11" s="47"/>
      <c r="P11" s="47">
        <f t="shared" ref="P11:R11" si="5">D11+H11+L11</f>
        <v>0</v>
      </c>
      <c r="Q11" s="47">
        <f t="shared" si="5"/>
        <v>0</v>
      </c>
      <c r="R11" s="47">
        <f t="shared" si="5"/>
        <v>0</v>
      </c>
      <c r="S11" s="41"/>
      <c r="T11" s="41"/>
      <c r="U11" s="41"/>
      <c r="V11" s="41"/>
      <c r="W11" s="41"/>
      <c r="X11" s="41"/>
      <c r="Y11" s="41"/>
      <c r="Z11" s="41"/>
    </row>
    <row r="12" spans="1:26" ht="15.75" customHeight="1">
      <c r="A12" s="41"/>
      <c r="B12" s="44">
        <v>2020</v>
      </c>
      <c r="C12" s="41" t="s">
        <v>92</v>
      </c>
      <c r="D12" s="45"/>
      <c r="E12" s="45"/>
      <c r="F12" s="45"/>
      <c r="G12" s="46"/>
      <c r="H12" s="46"/>
      <c r="I12" s="46"/>
      <c r="J12" s="46"/>
      <c r="K12" s="46"/>
      <c r="L12" s="46"/>
      <c r="M12" s="46"/>
      <c r="N12" s="46"/>
      <c r="O12" s="47"/>
      <c r="P12" s="47">
        <f t="shared" ref="P12:R12" si="6">D12+H12+L12</f>
        <v>0</v>
      </c>
      <c r="Q12" s="47">
        <f t="shared" si="6"/>
        <v>0</v>
      </c>
      <c r="R12" s="47">
        <f t="shared" si="6"/>
        <v>0</v>
      </c>
      <c r="S12" s="41"/>
      <c r="T12" s="41"/>
      <c r="U12" s="41"/>
      <c r="V12" s="41"/>
      <c r="W12" s="41"/>
      <c r="X12" s="41"/>
      <c r="Y12" s="41"/>
      <c r="Z12" s="41"/>
    </row>
    <row r="13" spans="1:26" ht="15.75" customHeight="1">
      <c r="A13" s="41"/>
      <c r="B13" s="44">
        <v>2020</v>
      </c>
      <c r="C13" s="41" t="s">
        <v>93</v>
      </c>
      <c r="D13" s="45"/>
      <c r="E13" s="45"/>
      <c r="F13" s="45"/>
      <c r="G13" s="46"/>
      <c r="H13" s="46"/>
      <c r="I13" s="46"/>
      <c r="J13" s="46"/>
      <c r="K13" s="46"/>
      <c r="L13" s="46"/>
      <c r="M13" s="46"/>
      <c r="N13" s="46"/>
      <c r="O13" s="47"/>
      <c r="P13" s="47">
        <f t="shared" ref="P13:R13" si="7">D13+H13+L13</f>
        <v>0</v>
      </c>
      <c r="Q13" s="47">
        <f t="shared" si="7"/>
        <v>0</v>
      </c>
      <c r="R13" s="47">
        <f t="shared" si="7"/>
        <v>0</v>
      </c>
      <c r="S13" s="41"/>
      <c r="T13" s="41"/>
      <c r="U13" s="41"/>
      <c r="V13" s="41"/>
      <c r="W13" s="41"/>
      <c r="X13" s="41"/>
      <c r="Y13" s="41"/>
      <c r="Z13" s="41"/>
    </row>
    <row r="14" spans="1:26" ht="15.75" customHeight="1">
      <c r="A14" s="41"/>
      <c r="B14" s="44">
        <v>2020</v>
      </c>
      <c r="C14" s="41" t="s">
        <v>94</v>
      </c>
      <c r="D14" s="46"/>
      <c r="E14" s="45"/>
      <c r="F14" s="45"/>
      <c r="G14" s="46"/>
      <c r="H14" s="46"/>
      <c r="I14" s="46"/>
      <c r="J14" s="46"/>
      <c r="K14" s="46"/>
      <c r="L14" s="46"/>
      <c r="M14" s="46"/>
      <c r="N14" s="46"/>
      <c r="O14" s="47"/>
      <c r="P14" s="47">
        <f t="shared" ref="P14:R14" si="8">D14+H14+L14</f>
        <v>0</v>
      </c>
      <c r="Q14" s="47">
        <f t="shared" si="8"/>
        <v>0</v>
      </c>
      <c r="R14" s="47">
        <f t="shared" si="8"/>
        <v>0</v>
      </c>
      <c r="S14" s="41"/>
      <c r="T14" s="41"/>
      <c r="U14" s="41"/>
      <c r="V14" s="41"/>
      <c r="W14" s="41"/>
      <c r="X14" s="41"/>
      <c r="Y14" s="41"/>
      <c r="Z14" s="41"/>
    </row>
    <row r="15" spans="1:26" ht="15.75" customHeight="1">
      <c r="A15" s="41"/>
      <c r="B15" s="44">
        <v>2020</v>
      </c>
      <c r="C15" s="41" t="s">
        <v>95</v>
      </c>
      <c r="D15" s="45"/>
      <c r="E15" s="45"/>
      <c r="F15" s="45"/>
      <c r="G15" s="46"/>
      <c r="H15" s="46"/>
      <c r="I15" s="46"/>
      <c r="J15" s="46"/>
      <c r="K15" s="46"/>
      <c r="L15" s="46"/>
      <c r="M15" s="46"/>
      <c r="N15" s="46"/>
      <c r="O15" s="47"/>
      <c r="P15" s="47">
        <f t="shared" ref="P15:R15" si="9">D15+H15+L15</f>
        <v>0</v>
      </c>
      <c r="Q15" s="47">
        <f t="shared" si="9"/>
        <v>0</v>
      </c>
      <c r="R15" s="47">
        <f t="shared" si="9"/>
        <v>0</v>
      </c>
      <c r="S15" s="41"/>
      <c r="T15" s="41"/>
      <c r="U15" s="41"/>
      <c r="V15" s="41"/>
      <c r="W15" s="41"/>
      <c r="X15" s="41"/>
      <c r="Y15" s="41"/>
      <c r="Z15" s="41"/>
    </row>
    <row r="16" spans="1:26" ht="15.75" customHeight="1">
      <c r="A16" s="41"/>
      <c r="B16" s="44">
        <v>2020</v>
      </c>
      <c r="C16" s="41" t="s">
        <v>96</v>
      </c>
      <c r="D16" s="45"/>
      <c r="E16" s="45"/>
      <c r="F16" s="45"/>
      <c r="G16" s="46"/>
      <c r="H16" s="46"/>
      <c r="I16" s="46"/>
      <c r="J16" s="46"/>
      <c r="K16" s="46"/>
      <c r="L16" s="46"/>
      <c r="M16" s="46"/>
      <c r="N16" s="46"/>
      <c r="O16" s="47"/>
      <c r="P16" s="47">
        <f t="shared" ref="P16:R16" si="10">D16+H16+L16</f>
        <v>0</v>
      </c>
      <c r="Q16" s="47">
        <f t="shared" si="10"/>
        <v>0</v>
      </c>
      <c r="R16" s="47">
        <f t="shared" si="10"/>
        <v>0</v>
      </c>
      <c r="S16" s="41"/>
      <c r="T16" s="41"/>
      <c r="U16" s="41"/>
      <c r="V16" s="41"/>
      <c r="W16" s="41"/>
      <c r="X16" s="41"/>
      <c r="Y16" s="41"/>
      <c r="Z16" s="41"/>
    </row>
    <row r="17" spans="1:26" ht="15.75" customHeight="1">
      <c r="A17" s="41"/>
      <c r="B17" s="44">
        <v>2020</v>
      </c>
      <c r="C17" s="41" t="s">
        <v>97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47">
        <f t="shared" ref="P17:R17" si="11">D17+H17+L17</f>
        <v>0</v>
      </c>
      <c r="Q17" s="47">
        <f t="shared" si="11"/>
        <v>0</v>
      </c>
      <c r="R17" s="47">
        <f t="shared" si="11"/>
        <v>0</v>
      </c>
      <c r="S17" s="41"/>
      <c r="T17" s="41"/>
      <c r="U17" s="41"/>
      <c r="V17" s="41"/>
      <c r="W17" s="41"/>
      <c r="X17" s="41"/>
      <c r="Y17" s="41"/>
      <c r="Z17" s="41"/>
    </row>
    <row r="18" spans="1:26" ht="15.75" customHeight="1">
      <c r="A18" s="42"/>
      <c r="B18" s="205" t="s">
        <v>98</v>
      </c>
      <c r="C18" s="149"/>
      <c r="D18" s="48">
        <f t="shared" ref="D18:E18" si="12">SUM(D6:D17)</f>
        <v>0</v>
      </c>
      <c r="E18" s="48">
        <f t="shared" si="12"/>
        <v>0</v>
      </c>
      <c r="F18" s="48" t="e">
        <f>AVERAGE(F6:F17)</f>
        <v>#DIV/0!</v>
      </c>
      <c r="G18" s="48"/>
      <c r="H18" s="48">
        <f t="shared" ref="H18:I18" si="13">SUM(H6:H17)</f>
        <v>0</v>
      </c>
      <c r="I18" s="48">
        <f t="shared" si="13"/>
        <v>0</v>
      </c>
      <c r="J18" s="48">
        <f>AVERAGE(J6:J17)</f>
        <v>0</v>
      </c>
      <c r="K18" s="48"/>
      <c r="L18" s="48">
        <f t="shared" ref="L18:M18" si="14">SUM(L6:L17)</f>
        <v>0</v>
      </c>
      <c r="M18" s="48">
        <f t="shared" si="14"/>
        <v>0</v>
      </c>
      <c r="N18" s="48">
        <f>AVERAGE(N6:N17)</f>
        <v>0</v>
      </c>
      <c r="O18" s="42"/>
      <c r="P18" s="49">
        <f t="shared" ref="P18:R18" si="15">SUM(P6:P17)</f>
        <v>0</v>
      </c>
      <c r="Q18" s="49">
        <f t="shared" si="15"/>
        <v>0</v>
      </c>
      <c r="R18" s="49">
        <f t="shared" si="15"/>
        <v>0</v>
      </c>
      <c r="S18" s="42"/>
      <c r="T18" s="42"/>
      <c r="U18" s="42"/>
      <c r="V18" s="42"/>
      <c r="W18" s="42"/>
      <c r="X18" s="42"/>
      <c r="Y18" s="42"/>
      <c r="Z18" s="42"/>
    </row>
    <row r="19" spans="1:26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.75" customHeight="1">
      <c r="A20" s="41"/>
      <c r="B20" s="204" t="s">
        <v>99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9"/>
      <c r="S20" s="41"/>
      <c r="T20" s="41"/>
      <c r="U20" s="41"/>
      <c r="V20" s="41"/>
      <c r="W20" s="41"/>
      <c r="X20" s="41"/>
      <c r="Y20" s="41"/>
      <c r="Z20" s="41"/>
    </row>
    <row r="21" spans="1:26" ht="18.75" customHeight="1">
      <c r="A21" s="41"/>
      <c r="B21" s="41"/>
      <c r="C21" s="41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>
      <c r="A22" s="41"/>
      <c r="B22" s="41"/>
      <c r="C22" s="41"/>
      <c r="D22" s="205" t="s">
        <v>100</v>
      </c>
      <c r="E22" s="148"/>
      <c r="F22" s="149"/>
      <c r="G22" s="41"/>
      <c r="H22" s="205" t="s">
        <v>100</v>
      </c>
      <c r="I22" s="148"/>
      <c r="J22" s="149"/>
      <c r="K22" s="41"/>
      <c r="L22" s="205" t="s">
        <v>100</v>
      </c>
      <c r="M22" s="148"/>
      <c r="N22" s="149"/>
      <c r="O22" s="41"/>
      <c r="P22" s="205" t="s">
        <v>101</v>
      </c>
      <c r="Q22" s="148"/>
      <c r="R22" s="149"/>
      <c r="S22" s="41"/>
      <c r="T22" s="41"/>
      <c r="U22" s="41"/>
      <c r="V22" s="41"/>
      <c r="W22" s="41"/>
      <c r="X22" s="41"/>
      <c r="Y22" s="41"/>
      <c r="Z22" s="41"/>
    </row>
    <row r="23" spans="1:26" ht="15.75" customHeight="1">
      <c r="A23" s="41"/>
      <c r="B23" s="43" t="s">
        <v>81</v>
      </c>
      <c r="C23" s="43" t="s">
        <v>82</v>
      </c>
      <c r="D23" s="43" t="s">
        <v>83</v>
      </c>
      <c r="E23" s="43" t="s">
        <v>84</v>
      </c>
      <c r="F23" s="43" t="s">
        <v>85</v>
      </c>
      <c r="G23" s="41"/>
      <c r="H23" s="43" t="s">
        <v>83</v>
      </c>
      <c r="I23" s="43" t="s">
        <v>84</v>
      </c>
      <c r="J23" s="43" t="s">
        <v>85</v>
      </c>
      <c r="K23" s="41"/>
      <c r="L23" s="43" t="s">
        <v>83</v>
      </c>
      <c r="M23" s="43" t="s">
        <v>84</v>
      </c>
      <c r="N23" s="43" t="s">
        <v>85</v>
      </c>
      <c r="O23" s="41"/>
      <c r="P23" s="43" t="s">
        <v>83</v>
      </c>
      <c r="Q23" s="43" t="s">
        <v>84</v>
      </c>
      <c r="R23" s="43" t="s">
        <v>85</v>
      </c>
      <c r="S23" s="41"/>
      <c r="T23" s="41"/>
      <c r="U23" s="41"/>
      <c r="V23" s="41"/>
      <c r="W23" s="41"/>
      <c r="X23" s="41"/>
      <c r="Y23" s="41"/>
      <c r="Z23" s="41"/>
    </row>
    <row r="24" spans="1:26" ht="15.75" customHeight="1">
      <c r="A24" s="41"/>
      <c r="B24" s="51">
        <f t="shared" ref="B24:C24" si="16">B6</f>
        <v>2020</v>
      </c>
      <c r="C24" s="51" t="str">
        <f t="shared" si="16"/>
        <v>Enero</v>
      </c>
      <c r="D24" s="52"/>
      <c r="E24" s="52"/>
      <c r="F24" s="52"/>
      <c r="G24" s="53"/>
      <c r="H24" s="53"/>
      <c r="I24" s="53"/>
      <c r="J24" s="53"/>
      <c r="K24" s="53"/>
      <c r="L24" s="53"/>
      <c r="M24" s="53"/>
      <c r="N24" s="53"/>
      <c r="O24" s="53"/>
      <c r="P24" s="53">
        <f t="shared" ref="P24:R24" si="17">D24+H24+L24</f>
        <v>0</v>
      </c>
      <c r="Q24" s="53">
        <f t="shared" si="17"/>
        <v>0</v>
      </c>
      <c r="R24" s="53">
        <f t="shared" si="17"/>
        <v>0</v>
      </c>
      <c r="S24" s="41"/>
      <c r="T24" s="41"/>
      <c r="U24" s="41"/>
      <c r="V24" s="41"/>
      <c r="W24" s="41"/>
      <c r="X24" s="41"/>
      <c r="Y24" s="41"/>
      <c r="Z24" s="41"/>
    </row>
    <row r="25" spans="1:26" ht="15.75" customHeight="1">
      <c r="A25" s="41"/>
      <c r="B25" s="51">
        <f t="shared" ref="B25:C25" si="18">B7</f>
        <v>2020</v>
      </c>
      <c r="C25" s="51" t="str">
        <f t="shared" si="18"/>
        <v>Febrero</v>
      </c>
      <c r="D25" s="52"/>
      <c r="E25" s="52"/>
      <c r="F25" s="52"/>
      <c r="G25" s="53"/>
      <c r="H25" s="53"/>
      <c r="I25" s="53"/>
      <c r="J25" s="53"/>
      <c r="K25" s="53"/>
      <c r="L25" s="53"/>
      <c r="M25" s="53"/>
      <c r="N25" s="53"/>
      <c r="O25" s="53"/>
      <c r="P25" s="53">
        <f t="shared" ref="P25:R25" si="19">D25+H25+L25</f>
        <v>0</v>
      </c>
      <c r="Q25" s="53">
        <f t="shared" si="19"/>
        <v>0</v>
      </c>
      <c r="R25" s="53">
        <f t="shared" si="19"/>
        <v>0</v>
      </c>
      <c r="S25" s="41"/>
      <c r="T25" s="41"/>
      <c r="U25" s="41"/>
      <c r="V25" s="41"/>
      <c r="W25" s="41"/>
      <c r="X25" s="41"/>
      <c r="Y25" s="41"/>
      <c r="Z25" s="41"/>
    </row>
    <row r="26" spans="1:26" ht="15.75" customHeight="1">
      <c r="A26" s="41"/>
      <c r="B26" s="51">
        <f t="shared" ref="B26:C26" si="20">B8</f>
        <v>2020</v>
      </c>
      <c r="C26" s="51" t="str">
        <f t="shared" si="20"/>
        <v>Marzo</v>
      </c>
      <c r="D26" s="52"/>
      <c r="E26" s="52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>
        <f t="shared" ref="P26:R26" si="21">D26+H26+L26</f>
        <v>0</v>
      </c>
      <c r="Q26" s="53">
        <f t="shared" si="21"/>
        <v>0</v>
      </c>
      <c r="R26" s="53">
        <f t="shared" si="21"/>
        <v>0</v>
      </c>
      <c r="S26" s="41"/>
      <c r="T26" s="41"/>
      <c r="U26" s="41"/>
      <c r="V26" s="41"/>
      <c r="W26" s="41"/>
      <c r="X26" s="41"/>
      <c r="Y26" s="41"/>
      <c r="Z26" s="41"/>
    </row>
    <row r="27" spans="1:26" ht="15.75" customHeight="1">
      <c r="A27" s="41"/>
      <c r="B27" s="51">
        <f t="shared" ref="B27:C27" si="22">B9</f>
        <v>2020</v>
      </c>
      <c r="C27" s="51" t="str">
        <f t="shared" si="22"/>
        <v>Abril</v>
      </c>
      <c r="D27" s="52"/>
      <c r="E27" s="52"/>
      <c r="F27" s="52"/>
      <c r="G27" s="53"/>
      <c r="H27" s="53"/>
      <c r="I27" s="53"/>
      <c r="J27" s="53"/>
      <c r="K27" s="53"/>
      <c r="L27" s="53"/>
      <c r="M27" s="53"/>
      <c r="N27" s="53"/>
      <c r="O27" s="53"/>
      <c r="P27" s="53">
        <f t="shared" ref="P27:R27" si="23">D27+H27+L27</f>
        <v>0</v>
      </c>
      <c r="Q27" s="53">
        <f t="shared" si="23"/>
        <v>0</v>
      </c>
      <c r="R27" s="53">
        <f t="shared" si="23"/>
        <v>0</v>
      </c>
      <c r="S27" s="41"/>
      <c r="T27" s="41"/>
      <c r="U27" s="41"/>
      <c r="V27" s="41"/>
      <c r="W27" s="41"/>
      <c r="X27" s="41"/>
      <c r="Y27" s="41"/>
      <c r="Z27" s="41"/>
    </row>
    <row r="28" spans="1:26" ht="15.75" customHeight="1">
      <c r="A28" s="41"/>
      <c r="B28" s="51">
        <f t="shared" ref="B28:C28" si="24">B10</f>
        <v>2020</v>
      </c>
      <c r="C28" s="51" t="str">
        <f t="shared" si="24"/>
        <v>Mayo</v>
      </c>
      <c r="D28" s="52"/>
      <c r="E28" s="52"/>
      <c r="F28" s="52"/>
      <c r="G28" s="53"/>
      <c r="H28" s="53"/>
      <c r="I28" s="53"/>
      <c r="J28" s="53"/>
      <c r="K28" s="53"/>
      <c r="L28" s="53"/>
      <c r="M28" s="53"/>
      <c r="N28" s="53"/>
      <c r="O28" s="53"/>
      <c r="P28" s="53">
        <f t="shared" ref="P28:R28" si="25">D28+H28+L28</f>
        <v>0</v>
      </c>
      <c r="Q28" s="53">
        <f t="shared" si="25"/>
        <v>0</v>
      </c>
      <c r="R28" s="53">
        <f t="shared" si="25"/>
        <v>0</v>
      </c>
      <c r="S28" s="41"/>
      <c r="T28" s="41"/>
      <c r="U28" s="41"/>
      <c r="V28" s="41"/>
      <c r="W28" s="41"/>
      <c r="X28" s="41"/>
      <c r="Y28" s="41"/>
      <c r="Z28" s="41"/>
    </row>
    <row r="29" spans="1:26" ht="15.75" customHeight="1">
      <c r="A29" s="41"/>
      <c r="B29" s="51">
        <f t="shared" ref="B29:C29" si="26">B11</f>
        <v>2020</v>
      </c>
      <c r="C29" s="51" t="str">
        <f t="shared" si="26"/>
        <v>Junio</v>
      </c>
      <c r="D29" s="52"/>
      <c r="E29" s="52"/>
      <c r="F29" s="52"/>
      <c r="G29" s="53"/>
      <c r="H29" s="53"/>
      <c r="I29" s="53"/>
      <c r="J29" s="53"/>
      <c r="K29" s="53"/>
      <c r="L29" s="53"/>
      <c r="M29" s="53"/>
      <c r="N29" s="53"/>
      <c r="O29" s="53"/>
      <c r="P29" s="53">
        <f t="shared" ref="P29:R29" si="27">D29+H29+L29</f>
        <v>0</v>
      </c>
      <c r="Q29" s="53">
        <f t="shared" si="27"/>
        <v>0</v>
      </c>
      <c r="R29" s="53">
        <f t="shared" si="27"/>
        <v>0</v>
      </c>
      <c r="S29" s="41"/>
      <c r="T29" s="41"/>
      <c r="U29" s="41"/>
      <c r="V29" s="41"/>
      <c r="W29" s="41"/>
      <c r="X29" s="41"/>
      <c r="Y29" s="41"/>
      <c r="Z29" s="41"/>
    </row>
    <row r="30" spans="1:26" ht="15.75" customHeight="1">
      <c r="A30" s="41"/>
      <c r="B30" s="51">
        <f t="shared" ref="B30:C30" si="28">B12</f>
        <v>2020</v>
      </c>
      <c r="C30" s="51" t="str">
        <f t="shared" si="28"/>
        <v>Julio</v>
      </c>
      <c r="D30" s="52"/>
      <c r="E30" s="52"/>
      <c r="F30" s="52"/>
      <c r="G30" s="53"/>
      <c r="H30" s="53"/>
      <c r="I30" s="53"/>
      <c r="J30" s="53"/>
      <c r="K30" s="53"/>
      <c r="L30" s="53"/>
      <c r="M30" s="53"/>
      <c r="N30" s="53"/>
      <c r="O30" s="53"/>
      <c r="P30" s="53">
        <f t="shared" ref="P30:R30" si="29">D30+H30+L30</f>
        <v>0</v>
      </c>
      <c r="Q30" s="53">
        <f t="shared" si="29"/>
        <v>0</v>
      </c>
      <c r="R30" s="53">
        <f t="shared" si="29"/>
        <v>0</v>
      </c>
      <c r="S30" s="41"/>
      <c r="T30" s="41"/>
      <c r="U30" s="41"/>
      <c r="V30" s="41"/>
      <c r="W30" s="41"/>
      <c r="X30" s="41"/>
      <c r="Y30" s="41"/>
      <c r="Z30" s="41"/>
    </row>
    <row r="31" spans="1:26" ht="15.75" customHeight="1">
      <c r="A31" s="41"/>
      <c r="B31" s="51">
        <f t="shared" ref="B31:C31" si="30">B13</f>
        <v>2020</v>
      </c>
      <c r="C31" s="51" t="str">
        <f t="shared" si="30"/>
        <v>Agosto</v>
      </c>
      <c r="D31" s="52"/>
      <c r="E31" s="52"/>
      <c r="F31" s="52"/>
      <c r="G31" s="53"/>
      <c r="H31" s="53"/>
      <c r="I31" s="53"/>
      <c r="J31" s="53"/>
      <c r="K31" s="53"/>
      <c r="L31" s="53"/>
      <c r="M31" s="53"/>
      <c r="N31" s="53"/>
      <c r="O31" s="53"/>
      <c r="P31" s="53">
        <f t="shared" ref="P31:R31" si="31">D31+H31+L31</f>
        <v>0</v>
      </c>
      <c r="Q31" s="53">
        <f t="shared" si="31"/>
        <v>0</v>
      </c>
      <c r="R31" s="53">
        <f t="shared" si="31"/>
        <v>0</v>
      </c>
      <c r="S31" s="41"/>
      <c r="T31" s="41"/>
      <c r="U31" s="41"/>
      <c r="V31" s="41"/>
      <c r="W31" s="41"/>
      <c r="X31" s="41"/>
      <c r="Y31" s="41"/>
      <c r="Z31" s="41"/>
    </row>
    <row r="32" spans="1:26" ht="15.75" customHeight="1">
      <c r="A32" s="41"/>
      <c r="B32" s="51">
        <f t="shared" ref="B32:C32" si="32">B14</f>
        <v>2020</v>
      </c>
      <c r="C32" s="51" t="str">
        <f t="shared" si="32"/>
        <v>Septiembre</v>
      </c>
      <c r="D32" s="52"/>
      <c r="E32" s="52"/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>
        <f t="shared" ref="P32:R32" si="33">D32+H32+L32</f>
        <v>0</v>
      </c>
      <c r="Q32" s="53">
        <f t="shared" si="33"/>
        <v>0</v>
      </c>
      <c r="R32" s="53">
        <f t="shared" si="33"/>
        <v>0</v>
      </c>
      <c r="S32" s="41"/>
      <c r="T32" s="41"/>
      <c r="U32" s="41"/>
      <c r="V32" s="41"/>
      <c r="W32" s="41"/>
      <c r="X32" s="41"/>
      <c r="Y32" s="41"/>
      <c r="Z32" s="41"/>
    </row>
    <row r="33" spans="1:26" ht="15.75" customHeight="1">
      <c r="A33" s="41"/>
      <c r="B33" s="51">
        <f t="shared" ref="B33:C33" si="34">B15</f>
        <v>2020</v>
      </c>
      <c r="C33" s="51" t="str">
        <f t="shared" si="34"/>
        <v>Octubre</v>
      </c>
      <c r="D33" s="52"/>
      <c r="E33" s="52"/>
      <c r="F33" s="52"/>
      <c r="G33" s="53"/>
      <c r="H33" s="53"/>
      <c r="I33" s="53"/>
      <c r="J33" s="53"/>
      <c r="K33" s="53"/>
      <c r="L33" s="53"/>
      <c r="M33" s="53"/>
      <c r="N33" s="53"/>
      <c r="O33" s="53"/>
      <c r="P33" s="53">
        <f t="shared" ref="P33:R33" si="35">D33+H33+L33</f>
        <v>0</v>
      </c>
      <c r="Q33" s="53">
        <f t="shared" si="35"/>
        <v>0</v>
      </c>
      <c r="R33" s="53">
        <f t="shared" si="35"/>
        <v>0</v>
      </c>
      <c r="S33" s="41"/>
      <c r="T33" s="41"/>
      <c r="U33" s="41"/>
      <c r="V33" s="41"/>
      <c r="W33" s="41"/>
      <c r="X33" s="41"/>
      <c r="Y33" s="41"/>
      <c r="Z33" s="41"/>
    </row>
    <row r="34" spans="1:26" ht="15.75" customHeight="1">
      <c r="A34" s="41"/>
      <c r="B34" s="51">
        <f t="shared" ref="B34:C34" si="36">B16</f>
        <v>2020</v>
      </c>
      <c r="C34" s="51" t="str">
        <f t="shared" si="36"/>
        <v>Noviembre</v>
      </c>
      <c r="D34" s="52"/>
      <c r="E34" s="52"/>
      <c r="F34" s="52"/>
      <c r="G34" s="53"/>
      <c r="H34" s="53"/>
      <c r="I34" s="53"/>
      <c r="J34" s="53"/>
      <c r="K34" s="53"/>
      <c r="L34" s="53"/>
      <c r="M34" s="53"/>
      <c r="N34" s="53"/>
      <c r="O34" s="53"/>
      <c r="P34" s="53">
        <f t="shared" ref="P34:R34" si="37">D34+H34+L34</f>
        <v>0</v>
      </c>
      <c r="Q34" s="53">
        <f t="shared" si="37"/>
        <v>0</v>
      </c>
      <c r="R34" s="53">
        <f t="shared" si="37"/>
        <v>0</v>
      </c>
      <c r="S34" s="41"/>
      <c r="T34" s="41"/>
      <c r="U34" s="41"/>
      <c r="V34" s="41"/>
      <c r="W34" s="41"/>
      <c r="X34" s="41"/>
      <c r="Y34" s="41"/>
      <c r="Z34" s="41"/>
    </row>
    <row r="35" spans="1:26" ht="15.75" customHeight="1">
      <c r="A35" s="41"/>
      <c r="B35" s="51">
        <f t="shared" ref="B35:C35" si="38">B17</f>
        <v>2020</v>
      </c>
      <c r="C35" s="51" t="str">
        <f t="shared" si="38"/>
        <v>Diciembre</v>
      </c>
      <c r="D35" s="52"/>
      <c r="E35" s="52"/>
      <c r="F35" s="52"/>
      <c r="G35" s="53"/>
      <c r="H35" s="53"/>
      <c r="I35" s="53"/>
      <c r="J35" s="53"/>
      <c r="K35" s="53"/>
      <c r="L35" s="53"/>
      <c r="M35" s="53"/>
      <c r="N35" s="53"/>
      <c r="O35" s="53"/>
      <c r="P35" s="53">
        <f t="shared" ref="P35:R35" si="39">D35+H35+L35</f>
        <v>0</v>
      </c>
      <c r="Q35" s="53">
        <f t="shared" si="39"/>
        <v>0</v>
      </c>
      <c r="R35" s="53">
        <f t="shared" si="39"/>
        <v>0</v>
      </c>
      <c r="S35" s="41"/>
      <c r="T35" s="41"/>
      <c r="U35" s="41"/>
      <c r="V35" s="41"/>
      <c r="W35" s="41"/>
      <c r="X35" s="41"/>
      <c r="Y35" s="41"/>
      <c r="Z35" s="41"/>
    </row>
    <row r="36" spans="1:26" ht="15.75" customHeight="1">
      <c r="A36" s="42"/>
      <c r="B36" s="205" t="s">
        <v>98</v>
      </c>
      <c r="C36" s="149"/>
      <c r="D36" s="48">
        <f t="shared" ref="D36:E36" si="40">SUM(D24:D35)</f>
        <v>0</v>
      </c>
      <c r="E36" s="48">
        <f t="shared" si="40"/>
        <v>0</v>
      </c>
      <c r="F36" s="48" t="e">
        <f>AVERAGE(F24:F35)</f>
        <v>#DIV/0!</v>
      </c>
      <c r="G36" s="48"/>
      <c r="H36" s="48">
        <f t="shared" ref="H36:I36" si="41">SUM(H24:H35)</f>
        <v>0</v>
      </c>
      <c r="I36" s="48">
        <f t="shared" si="41"/>
        <v>0</v>
      </c>
      <c r="J36" s="48" t="e">
        <f>AVERAGE(J24:J35)</f>
        <v>#DIV/0!</v>
      </c>
      <c r="K36" s="48"/>
      <c r="L36" s="48">
        <f t="shared" ref="L36:M36" si="42">SUM(L24:L35)</f>
        <v>0</v>
      </c>
      <c r="M36" s="48">
        <f t="shared" si="42"/>
        <v>0</v>
      </c>
      <c r="N36" s="48" t="e">
        <f>AVERAGE(N24:N35)</f>
        <v>#DIV/0!</v>
      </c>
      <c r="O36" s="48"/>
      <c r="P36" s="48">
        <f t="shared" ref="P36:Q36" si="43">SUM(P24:P35)</f>
        <v>0</v>
      </c>
      <c r="Q36" s="48">
        <f t="shared" si="43"/>
        <v>0</v>
      </c>
      <c r="R36" s="48" t="e">
        <f>F36+J36+N36</f>
        <v>#DIV/0!</v>
      </c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>
      <c r="A38" s="41"/>
      <c r="B38" s="204" t="s">
        <v>102</v>
      </c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9"/>
      <c r="S38" s="41"/>
      <c r="T38" s="41"/>
      <c r="U38" s="41"/>
      <c r="V38" s="41"/>
      <c r="W38" s="41"/>
      <c r="X38" s="41"/>
      <c r="Y38" s="41"/>
      <c r="Z38" s="41"/>
    </row>
    <row r="39" spans="1:26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>
      <c r="A41" s="41"/>
      <c r="B41" s="41"/>
      <c r="C41" s="41"/>
      <c r="D41" s="205" t="s">
        <v>103</v>
      </c>
      <c r="E41" s="148"/>
      <c r="F41" s="149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>
      <c r="A42" s="41"/>
      <c r="B42" s="41"/>
      <c r="C42" s="41"/>
      <c r="D42" s="208" t="s">
        <v>104</v>
      </c>
      <c r="E42" s="149"/>
      <c r="F42" s="54">
        <v>1</v>
      </c>
      <c r="G42" s="41"/>
      <c r="H42" s="205" t="s">
        <v>105</v>
      </c>
      <c r="I42" s="148"/>
      <c r="J42" s="149"/>
      <c r="K42" s="41"/>
      <c r="L42" s="205" t="s">
        <v>102</v>
      </c>
      <c r="M42" s="148"/>
      <c r="N42" s="149"/>
      <c r="O42" s="41"/>
      <c r="P42" s="209"/>
      <c r="Q42" s="136"/>
      <c r="R42" s="136"/>
      <c r="S42" s="41"/>
      <c r="T42" s="41"/>
      <c r="U42" s="41"/>
      <c r="V42" s="41"/>
      <c r="W42" s="41"/>
      <c r="X42" s="41"/>
      <c r="Y42" s="41"/>
      <c r="Z42" s="41"/>
    </row>
    <row r="43" spans="1:26" ht="15.75" customHeight="1">
      <c r="A43" s="41"/>
      <c r="B43" s="43" t="s">
        <v>81</v>
      </c>
      <c r="C43" s="43" t="s">
        <v>82</v>
      </c>
      <c r="D43" s="43" t="s">
        <v>83</v>
      </c>
      <c r="E43" s="43" t="s">
        <v>84</v>
      </c>
      <c r="F43" s="43" t="s">
        <v>106</v>
      </c>
      <c r="G43" s="41"/>
      <c r="H43" s="43" t="s">
        <v>83</v>
      </c>
      <c r="I43" s="43" t="s">
        <v>84</v>
      </c>
      <c r="J43" s="43" t="s">
        <v>106</v>
      </c>
      <c r="K43" s="41"/>
      <c r="L43" s="43" t="s">
        <v>83</v>
      </c>
      <c r="M43" s="43" t="s">
        <v>84</v>
      </c>
      <c r="N43" s="43" t="s">
        <v>106</v>
      </c>
      <c r="O43" s="41"/>
      <c r="P43" s="210"/>
      <c r="Q43" s="136"/>
      <c r="R43" s="56"/>
      <c r="S43" s="41"/>
      <c r="T43" s="41"/>
      <c r="U43" s="41"/>
      <c r="V43" s="41"/>
      <c r="W43" s="41"/>
      <c r="X43" s="41"/>
      <c r="Y43" s="41"/>
      <c r="Z43" s="41"/>
    </row>
    <row r="44" spans="1:26" ht="15.75" customHeight="1">
      <c r="A44" s="41"/>
      <c r="B44" s="51">
        <f t="shared" ref="B44:C44" si="44">B6</f>
        <v>2020</v>
      </c>
      <c r="C44" s="51" t="str">
        <f t="shared" si="44"/>
        <v>Enero</v>
      </c>
      <c r="D44" s="57">
        <f t="shared" ref="D44:F44" si="45">P24*$F$42</f>
        <v>0</v>
      </c>
      <c r="E44" s="57">
        <f t="shared" si="45"/>
        <v>0</v>
      </c>
      <c r="F44" s="57">
        <f t="shared" si="45"/>
        <v>0</v>
      </c>
      <c r="G44" s="41"/>
      <c r="H44" s="58">
        <f t="shared" ref="H44:J44" si="46">P6</f>
        <v>0</v>
      </c>
      <c r="I44" s="58">
        <f t="shared" si="46"/>
        <v>0</v>
      </c>
      <c r="J44" s="58">
        <f t="shared" si="46"/>
        <v>0</v>
      </c>
      <c r="K44" s="58"/>
      <c r="L44" s="58">
        <f t="shared" ref="L44:N44" si="47">D44+H44</f>
        <v>0</v>
      </c>
      <c r="M44" s="58">
        <f t="shared" si="47"/>
        <v>0</v>
      </c>
      <c r="N44" s="58">
        <f t="shared" si="47"/>
        <v>0</v>
      </c>
      <c r="O44" s="41"/>
      <c r="P44" s="206"/>
      <c r="Q44" s="136"/>
      <c r="R44" s="60"/>
      <c r="S44" s="41"/>
      <c r="T44" s="41"/>
      <c r="U44" s="41"/>
      <c r="V44" s="41"/>
      <c r="W44" s="41"/>
      <c r="X44" s="41"/>
      <c r="Y44" s="41"/>
      <c r="Z44" s="41"/>
    </row>
    <row r="45" spans="1:26" ht="15.75" customHeight="1">
      <c r="A45" s="41"/>
      <c r="B45" s="51">
        <f t="shared" ref="B45:C45" si="48">B7</f>
        <v>2020</v>
      </c>
      <c r="C45" s="51" t="str">
        <f t="shared" si="48"/>
        <v>Febrero</v>
      </c>
      <c r="D45" s="57">
        <f t="shared" ref="D45:F45" si="49">P25*$F$42</f>
        <v>0</v>
      </c>
      <c r="E45" s="57">
        <f t="shared" si="49"/>
        <v>0</v>
      </c>
      <c r="F45" s="57">
        <f t="shared" si="49"/>
        <v>0</v>
      </c>
      <c r="G45" s="41"/>
      <c r="H45" s="58">
        <f t="shared" ref="H45:J45" si="50">P7</f>
        <v>0</v>
      </c>
      <c r="I45" s="58">
        <f t="shared" si="50"/>
        <v>0</v>
      </c>
      <c r="J45" s="58">
        <f t="shared" si="50"/>
        <v>0</v>
      </c>
      <c r="K45" s="58"/>
      <c r="L45" s="58">
        <f t="shared" ref="L45:N45" si="51">D45+H45</f>
        <v>0</v>
      </c>
      <c r="M45" s="58">
        <f t="shared" si="51"/>
        <v>0</v>
      </c>
      <c r="N45" s="58">
        <f t="shared" si="51"/>
        <v>0</v>
      </c>
      <c r="O45" s="41"/>
      <c r="P45" s="61"/>
      <c r="Q45" s="6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>
      <c r="A46" s="41"/>
      <c r="B46" s="51">
        <f t="shared" ref="B46:C46" si="52">B8</f>
        <v>2020</v>
      </c>
      <c r="C46" s="51" t="str">
        <f t="shared" si="52"/>
        <v>Marzo</v>
      </c>
      <c r="D46" s="57">
        <f t="shared" ref="D46:F46" si="53">P26*$F$42</f>
        <v>0</v>
      </c>
      <c r="E46" s="57">
        <f t="shared" si="53"/>
        <v>0</v>
      </c>
      <c r="F46" s="57">
        <f t="shared" si="53"/>
        <v>0</v>
      </c>
      <c r="G46" s="41"/>
      <c r="H46" s="58">
        <f t="shared" ref="H46:J46" si="54">P8</f>
        <v>0</v>
      </c>
      <c r="I46" s="58">
        <f t="shared" si="54"/>
        <v>0</v>
      </c>
      <c r="J46" s="58">
        <f t="shared" si="54"/>
        <v>0</v>
      </c>
      <c r="K46" s="58"/>
      <c r="L46" s="58">
        <f t="shared" ref="L46:N46" si="55">D46+H46</f>
        <v>0</v>
      </c>
      <c r="M46" s="58">
        <f t="shared" si="55"/>
        <v>0</v>
      </c>
      <c r="N46" s="58">
        <f t="shared" si="55"/>
        <v>0</v>
      </c>
      <c r="O46" s="41"/>
      <c r="P46" s="211"/>
      <c r="Q46" s="136"/>
      <c r="R46" s="62"/>
      <c r="S46" s="41"/>
      <c r="T46" s="41"/>
      <c r="U46" s="41"/>
      <c r="V46" s="41"/>
      <c r="W46" s="41"/>
      <c r="X46" s="41"/>
      <c r="Y46" s="41"/>
      <c r="Z46" s="41"/>
    </row>
    <row r="47" spans="1:26" ht="15.75" customHeight="1">
      <c r="A47" s="41"/>
      <c r="B47" s="51">
        <f t="shared" ref="B47:C47" si="56">B9</f>
        <v>2020</v>
      </c>
      <c r="C47" s="51" t="str">
        <f t="shared" si="56"/>
        <v>Abril</v>
      </c>
      <c r="D47" s="57">
        <f t="shared" ref="D47:F47" si="57">P27*$F$42</f>
        <v>0</v>
      </c>
      <c r="E47" s="57">
        <f t="shared" si="57"/>
        <v>0</v>
      </c>
      <c r="F47" s="57">
        <f t="shared" si="57"/>
        <v>0</v>
      </c>
      <c r="G47" s="41"/>
      <c r="H47" s="58">
        <f t="shared" ref="H47:J47" si="58">P9</f>
        <v>0</v>
      </c>
      <c r="I47" s="58">
        <f t="shared" si="58"/>
        <v>0</v>
      </c>
      <c r="J47" s="58">
        <f t="shared" si="58"/>
        <v>0</v>
      </c>
      <c r="K47" s="58"/>
      <c r="L47" s="58">
        <f t="shared" ref="L47:N47" si="59">D47+H47</f>
        <v>0</v>
      </c>
      <c r="M47" s="58">
        <f t="shared" si="59"/>
        <v>0</v>
      </c>
      <c r="N47" s="58">
        <f t="shared" si="59"/>
        <v>0</v>
      </c>
      <c r="O47" s="41"/>
      <c r="P47" s="61"/>
      <c r="Q47" s="61"/>
      <c r="S47" s="41"/>
      <c r="T47" s="41"/>
      <c r="U47" s="41"/>
      <c r="V47" s="41"/>
      <c r="W47" s="41"/>
      <c r="X47" s="41"/>
      <c r="Y47" s="41"/>
      <c r="Z47" s="41"/>
    </row>
    <row r="48" spans="1:26" ht="15.75" customHeight="1">
      <c r="A48" s="41"/>
      <c r="B48" s="51">
        <f t="shared" ref="B48:C48" si="60">B10</f>
        <v>2020</v>
      </c>
      <c r="C48" s="51" t="str">
        <f t="shared" si="60"/>
        <v>Mayo</v>
      </c>
      <c r="D48" s="57">
        <f t="shared" ref="D48:F48" si="61">P28*$F$42</f>
        <v>0</v>
      </c>
      <c r="E48" s="57">
        <f t="shared" si="61"/>
        <v>0</v>
      </c>
      <c r="F48" s="57">
        <f t="shared" si="61"/>
        <v>0</v>
      </c>
      <c r="G48" s="41"/>
      <c r="H48" s="58">
        <f t="shared" ref="H48:J48" si="62">P10</f>
        <v>0</v>
      </c>
      <c r="I48" s="58">
        <f t="shared" si="62"/>
        <v>0</v>
      </c>
      <c r="J48" s="58">
        <f t="shared" si="62"/>
        <v>0</v>
      </c>
      <c r="K48" s="58"/>
      <c r="L48" s="58">
        <f t="shared" ref="L48:N48" si="63">D48+H48</f>
        <v>0</v>
      </c>
      <c r="M48" s="58">
        <f t="shared" si="63"/>
        <v>0</v>
      </c>
      <c r="N48" s="58">
        <f t="shared" si="63"/>
        <v>0</v>
      </c>
      <c r="O48" s="41"/>
      <c r="P48" s="206"/>
      <c r="Q48" s="136"/>
      <c r="R48" s="62"/>
      <c r="S48" s="41"/>
      <c r="T48" s="41"/>
      <c r="U48" s="41"/>
      <c r="V48" s="41"/>
      <c r="W48" s="41"/>
      <c r="X48" s="41"/>
      <c r="Y48" s="41"/>
      <c r="Z48" s="41"/>
    </row>
    <row r="49" spans="1:26" ht="15.75" customHeight="1">
      <c r="A49" s="41"/>
      <c r="B49" s="51">
        <f t="shared" ref="B49:C49" si="64">B11</f>
        <v>2020</v>
      </c>
      <c r="C49" s="51" t="str">
        <f t="shared" si="64"/>
        <v>Junio</v>
      </c>
      <c r="D49" s="57">
        <f t="shared" ref="D49:F49" si="65">P29*$F$42</f>
        <v>0</v>
      </c>
      <c r="E49" s="57">
        <f t="shared" si="65"/>
        <v>0</v>
      </c>
      <c r="F49" s="57">
        <f t="shared" si="65"/>
        <v>0</v>
      </c>
      <c r="G49" s="41"/>
      <c r="H49" s="58">
        <f t="shared" ref="H49:J49" si="66">P11</f>
        <v>0</v>
      </c>
      <c r="I49" s="58">
        <f t="shared" si="66"/>
        <v>0</v>
      </c>
      <c r="J49" s="58">
        <f t="shared" si="66"/>
        <v>0</v>
      </c>
      <c r="K49" s="58"/>
      <c r="L49" s="58">
        <f t="shared" ref="L49:N49" si="67">D49+H49</f>
        <v>0</v>
      </c>
      <c r="M49" s="58">
        <f t="shared" si="67"/>
        <v>0</v>
      </c>
      <c r="N49" s="58">
        <f t="shared" si="67"/>
        <v>0</v>
      </c>
      <c r="O49" s="41"/>
      <c r="S49" s="41"/>
      <c r="T49" s="41"/>
      <c r="U49" s="41"/>
      <c r="V49" s="41"/>
      <c r="W49" s="41"/>
      <c r="X49" s="41"/>
      <c r="Y49" s="41"/>
      <c r="Z49" s="41"/>
    </row>
    <row r="50" spans="1:26" ht="15.75" customHeight="1">
      <c r="A50" s="41"/>
      <c r="B50" s="51">
        <f t="shared" ref="B50:C50" si="68">B12</f>
        <v>2020</v>
      </c>
      <c r="C50" s="51" t="str">
        <f t="shared" si="68"/>
        <v>Julio</v>
      </c>
      <c r="D50" s="57">
        <f t="shared" ref="D50:F50" si="69">P30*$F$42</f>
        <v>0</v>
      </c>
      <c r="E50" s="57">
        <f t="shared" si="69"/>
        <v>0</v>
      </c>
      <c r="F50" s="57">
        <f t="shared" si="69"/>
        <v>0</v>
      </c>
      <c r="G50" s="41"/>
      <c r="H50" s="58">
        <f t="shared" ref="H50:J50" si="70">P12</f>
        <v>0</v>
      </c>
      <c r="I50" s="58">
        <f t="shared" si="70"/>
        <v>0</v>
      </c>
      <c r="J50" s="58">
        <f t="shared" si="70"/>
        <v>0</v>
      </c>
      <c r="K50" s="58"/>
      <c r="L50" s="58">
        <f t="shared" ref="L50:N50" si="71">D50+H50</f>
        <v>0</v>
      </c>
      <c r="M50" s="58">
        <f t="shared" si="71"/>
        <v>0</v>
      </c>
      <c r="N50" s="58">
        <f t="shared" si="71"/>
        <v>0</v>
      </c>
      <c r="O50" s="41"/>
      <c r="P50" s="206"/>
      <c r="Q50" s="136"/>
      <c r="R50" s="63"/>
      <c r="S50" s="41"/>
      <c r="T50" s="41"/>
      <c r="U50" s="41"/>
      <c r="V50" s="41"/>
      <c r="W50" s="41"/>
      <c r="X50" s="41"/>
      <c r="Y50" s="41"/>
      <c r="Z50" s="41"/>
    </row>
    <row r="51" spans="1:26" ht="15.75" customHeight="1">
      <c r="A51" s="41"/>
      <c r="B51" s="51">
        <f t="shared" ref="B51:C51" si="72">B13</f>
        <v>2020</v>
      </c>
      <c r="C51" s="51" t="str">
        <f t="shared" si="72"/>
        <v>Agosto</v>
      </c>
      <c r="D51" s="57">
        <f t="shared" ref="D51:F51" si="73">P31*$F$42</f>
        <v>0</v>
      </c>
      <c r="E51" s="57">
        <f t="shared" si="73"/>
        <v>0</v>
      </c>
      <c r="F51" s="57">
        <f t="shared" si="73"/>
        <v>0</v>
      </c>
      <c r="G51" s="41"/>
      <c r="H51" s="58">
        <f t="shared" ref="H51:J51" si="74">P13</f>
        <v>0</v>
      </c>
      <c r="I51" s="58">
        <f t="shared" si="74"/>
        <v>0</v>
      </c>
      <c r="J51" s="58">
        <f t="shared" si="74"/>
        <v>0</v>
      </c>
      <c r="K51" s="58"/>
      <c r="L51" s="58">
        <f t="shared" ref="L51:N51" si="75">D51+H51</f>
        <v>0</v>
      </c>
      <c r="M51" s="58">
        <f t="shared" si="75"/>
        <v>0</v>
      </c>
      <c r="N51" s="58">
        <f t="shared" si="75"/>
        <v>0</v>
      </c>
      <c r="O51" s="41"/>
      <c r="S51" s="41"/>
      <c r="T51" s="41"/>
      <c r="U51" s="41"/>
      <c r="V51" s="41"/>
      <c r="W51" s="41"/>
      <c r="X51" s="41"/>
      <c r="Y51" s="41"/>
      <c r="Z51" s="41"/>
    </row>
    <row r="52" spans="1:26" ht="15.75" customHeight="1">
      <c r="A52" s="41"/>
      <c r="B52" s="51">
        <f t="shared" ref="B52:C52" si="76">B14</f>
        <v>2020</v>
      </c>
      <c r="C52" s="51" t="str">
        <f t="shared" si="76"/>
        <v>Septiembre</v>
      </c>
      <c r="D52" s="57">
        <f t="shared" ref="D52:F52" si="77">P32*$F$42</f>
        <v>0</v>
      </c>
      <c r="E52" s="57">
        <f t="shared" si="77"/>
        <v>0</v>
      </c>
      <c r="F52" s="57">
        <f t="shared" si="77"/>
        <v>0</v>
      </c>
      <c r="G52" s="41"/>
      <c r="H52" s="58">
        <f t="shared" ref="H52:J52" si="78">P14</f>
        <v>0</v>
      </c>
      <c r="I52" s="58">
        <f t="shared" si="78"/>
        <v>0</v>
      </c>
      <c r="J52" s="58">
        <f t="shared" si="78"/>
        <v>0</v>
      </c>
      <c r="K52" s="58"/>
      <c r="L52" s="58">
        <f t="shared" ref="L52:N52" si="79">D52+H52</f>
        <v>0</v>
      </c>
      <c r="M52" s="58">
        <f t="shared" si="79"/>
        <v>0</v>
      </c>
      <c r="N52" s="58">
        <f t="shared" si="79"/>
        <v>0</v>
      </c>
      <c r="O52" s="41"/>
      <c r="P52" s="206"/>
      <c r="Q52" s="136"/>
      <c r="R52" s="63"/>
      <c r="S52" s="41"/>
      <c r="T52" s="41"/>
      <c r="U52" s="41"/>
      <c r="V52" s="41"/>
      <c r="W52" s="41"/>
      <c r="X52" s="41"/>
      <c r="Y52" s="41"/>
      <c r="Z52" s="41"/>
    </row>
    <row r="53" spans="1:26" ht="15.75" customHeight="1">
      <c r="A53" s="41"/>
      <c r="B53" s="51">
        <f t="shared" ref="B53:C53" si="80">B15</f>
        <v>2020</v>
      </c>
      <c r="C53" s="51" t="str">
        <f t="shared" si="80"/>
        <v>Octubre</v>
      </c>
      <c r="D53" s="57">
        <f t="shared" ref="D53:F53" si="81">P33*$F$42</f>
        <v>0</v>
      </c>
      <c r="E53" s="57">
        <f t="shared" si="81"/>
        <v>0</v>
      </c>
      <c r="F53" s="57">
        <f t="shared" si="81"/>
        <v>0</v>
      </c>
      <c r="G53" s="41"/>
      <c r="H53" s="58">
        <f t="shared" ref="H53:J53" si="82">P15</f>
        <v>0</v>
      </c>
      <c r="I53" s="58">
        <f t="shared" si="82"/>
        <v>0</v>
      </c>
      <c r="J53" s="58">
        <f t="shared" si="82"/>
        <v>0</v>
      </c>
      <c r="K53" s="58"/>
      <c r="L53" s="58">
        <f t="shared" ref="L53:N53" si="83">D53+H53</f>
        <v>0</v>
      </c>
      <c r="M53" s="58">
        <f t="shared" si="83"/>
        <v>0</v>
      </c>
      <c r="N53" s="58">
        <f t="shared" si="83"/>
        <v>0</v>
      </c>
      <c r="O53" s="41"/>
      <c r="S53" s="41"/>
      <c r="T53" s="41"/>
      <c r="U53" s="41"/>
      <c r="V53" s="41"/>
      <c r="W53" s="41"/>
      <c r="X53" s="41"/>
      <c r="Y53" s="41"/>
      <c r="Z53" s="41"/>
    </row>
    <row r="54" spans="1:26" ht="15.75" customHeight="1">
      <c r="A54" s="41"/>
      <c r="B54" s="51">
        <f t="shared" ref="B54:C54" si="84">B16</f>
        <v>2020</v>
      </c>
      <c r="C54" s="51" t="str">
        <f t="shared" si="84"/>
        <v>Noviembre</v>
      </c>
      <c r="D54" s="57">
        <f t="shared" ref="D54:F54" si="85">P34*$F$42</f>
        <v>0</v>
      </c>
      <c r="E54" s="57">
        <f t="shared" si="85"/>
        <v>0</v>
      </c>
      <c r="F54" s="57">
        <f t="shared" si="85"/>
        <v>0</v>
      </c>
      <c r="G54" s="41"/>
      <c r="H54" s="58">
        <f t="shared" ref="H54:J54" si="86">P16</f>
        <v>0</v>
      </c>
      <c r="I54" s="58">
        <f t="shared" si="86"/>
        <v>0</v>
      </c>
      <c r="J54" s="58">
        <f t="shared" si="86"/>
        <v>0</v>
      </c>
      <c r="K54" s="58"/>
      <c r="L54" s="58">
        <f t="shared" ref="L54:N54" si="87">D54+H54</f>
        <v>0</v>
      </c>
      <c r="M54" s="58">
        <f t="shared" si="87"/>
        <v>0</v>
      </c>
      <c r="N54" s="58">
        <f t="shared" si="87"/>
        <v>0</v>
      </c>
      <c r="O54" s="41"/>
      <c r="P54" s="64"/>
      <c r="S54" s="41"/>
      <c r="T54" s="41"/>
      <c r="U54" s="41"/>
      <c r="V54" s="41"/>
      <c r="W54" s="41"/>
      <c r="X54" s="41"/>
      <c r="Y54" s="41"/>
      <c r="Z54" s="41"/>
    </row>
    <row r="55" spans="1:26" ht="15.75" customHeight="1">
      <c r="A55" s="41"/>
      <c r="B55" s="51">
        <f t="shared" ref="B55:C55" si="88">B17</f>
        <v>2020</v>
      </c>
      <c r="C55" s="51" t="str">
        <f t="shared" si="88"/>
        <v>Diciembre</v>
      </c>
      <c r="D55" s="57">
        <f t="shared" ref="D55:F55" si="89">P35*$F$42</f>
        <v>0</v>
      </c>
      <c r="E55" s="57">
        <f t="shared" si="89"/>
        <v>0</v>
      </c>
      <c r="F55" s="57">
        <f t="shared" si="89"/>
        <v>0</v>
      </c>
      <c r="G55" s="41"/>
      <c r="H55" s="58">
        <f t="shared" ref="H55:J55" si="90">P17</f>
        <v>0</v>
      </c>
      <c r="I55" s="58">
        <f t="shared" si="90"/>
        <v>0</v>
      </c>
      <c r="J55" s="58">
        <f t="shared" si="90"/>
        <v>0</v>
      </c>
      <c r="K55" s="58"/>
      <c r="L55" s="58">
        <f t="shared" ref="L55:N55" si="91">D55+H55</f>
        <v>0</v>
      </c>
      <c r="M55" s="58">
        <f t="shared" si="91"/>
        <v>0</v>
      </c>
      <c r="N55" s="58">
        <f t="shared" si="91"/>
        <v>0</v>
      </c>
      <c r="O55" s="41"/>
      <c r="P55" s="64"/>
      <c r="S55" s="41"/>
      <c r="T55" s="41"/>
      <c r="U55" s="41"/>
      <c r="V55" s="41"/>
      <c r="W55" s="41"/>
      <c r="X55" s="41"/>
      <c r="Y55" s="41"/>
      <c r="Z55" s="41"/>
    </row>
    <row r="56" spans="1:26" ht="15.75" customHeight="1">
      <c r="A56" s="42"/>
      <c r="B56" s="207" t="s">
        <v>98</v>
      </c>
      <c r="C56" s="149"/>
      <c r="D56" s="65">
        <f t="shared" ref="D56:F56" si="92">SUM(D44:D55)</f>
        <v>0</v>
      </c>
      <c r="E56" s="65">
        <f t="shared" si="92"/>
        <v>0</v>
      </c>
      <c r="F56" s="65">
        <f t="shared" si="92"/>
        <v>0</v>
      </c>
      <c r="G56" s="65"/>
      <c r="H56" s="65">
        <f t="shared" ref="H56:J56" si="93">SUM(H44:H55)</f>
        <v>0</v>
      </c>
      <c r="I56" s="65">
        <f t="shared" si="93"/>
        <v>0</v>
      </c>
      <c r="J56" s="65">
        <f t="shared" si="93"/>
        <v>0</v>
      </c>
      <c r="K56" s="65"/>
      <c r="L56" s="65">
        <f t="shared" ref="L56:N56" si="94">SUM(L44:L55)</f>
        <v>0</v>
      </c>
      <c r="M56" s="65">
        <f t="shared" si="94"/>
        <v>0</v>
      </c>
      <c r="N56" s="65">
        <f t="shared" si="94"/>
        <v>0</v>
      </c>
      <c r="O56" s="42"/>
      <c r="P56" s="64"/>
      <c r="Q56" s="66"/>
      <c r="R56" s="66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64"/>
      <c r="S57" s="41"/>
      <c r="T57" s="41"/>
      <c r="U57" s="41"/>
      <c r="V57" s="41"/>
      <c r="W57" s="41"/>
      <c r="X57" s="41"/>
      <c r="Y57" s="41"/>
      <c r="Z57" s="41"/>
    </row>
    <row r="58" spans="1:26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S58" s="41"/>
      <c r="T58" s="41"/>
      <c r="U58" s="41"/>
      <c r="V58" s="41"/>
      <c r="W58" s="41"/>
      <c r="X58" s="41"/>
      <c r="Y58" s="41"/>
      <c r="Z58" s="41"/>
    </row>
    <row r="59" spans="1:26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S59" s="41"/>
      <c r="T59" s="41"/>
      <c r="U59" s="41"/>
      <c r="V59" s="41"/>
      <c r="W59" s="41"/>
      <c r="X59" s="41"/>
      <c r="Y59" s="41"/>
      <c r="Z59" s="41"/>
    </row>
    <row r="60" spans="1:26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S60" s="41"/>
      <c r="T60" s="41"/>
      <c r="U60" s="41"/>
      <c r="V60" s="41"/>
      <c r="W60" s="41"/>
      <c r="X60" s="41"/>
      <c r="Y60" s="41"/>
      <c r="Z60" s="41"/>
    </row>
    <row r="61" spans="1:26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S61" s="41"/>
      <c r="T61" s="41"/>
      <c r="U61" s="41"/>
      <c r="V61" s="41"/>
      <c r="W61" s="41"/>
      <c r="X61" s="41"/>
      <c r="Y61" s="41"/>
      <c r="Z61" s="41"/>
    </row>
    <row r="62" spans="1:26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5">
    <mergeCell ref="P52:Q52"/>
    <mergeCell ref="B56:C56"/>
    <mergeCell ref="D42:E42"/>
    <mergeCell ref="H42:J42"/>
    <mergeCell ref="L42:N42"/>
    <mergeCell ref="P42:R42"/>
    <mergeCell ref="P43:Q43"/>
    <mergeCell ref="P44:Q44"/>
    <mergeCell ref="P46:Q46"/>
    <mergeCell ref="B36:C36"/>
    <mergeCell ref="B38:R38"/>
    <mergeCell ref="D41:F41"/>
    <mergeCell ref="P48:Q48"/>
    <mergeCell ref="P50:Q50"/>
    <mergeCell ref="B18:C18"/>
    <mergeCell ref="B20:R20"/>
    <mergeCell ref="D22:F22"/>
    <mergeCell ref="H22:J22"/>
    <mergeCell ref="L22:N22"/>
    <mergeCell ref="P22:R22"/>
    <mergeCell ref="B2:R2"/>
    <mergeCell ref="D4:F4"/>
    <mergeCell ref="H4:J4"/>
    <mergeCell ref="L4:N4"/>
    <mergeCell ref="P4:R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15" workbookViewId="0">
      <selection activeCell="C11" sqref="C11"/>
    </sheetView>
  </sheetViews>
  <sheetFormatPr baseColWidth="10" defaultColWidth="11.25" defaultRowHeight="15" customHeight="1"/>
  <cols>
    <col min="1" max="1" width="3.375" customWidth="1"/>
    <col min="2" max="2" width="25.625" customWidth="1"/>
    <col min="3" max="3" width="11.625" customWidth="1"/>
    <col min="4" max="4" width="13" customWidth="1"/>
    <col min="5" max="5" width="11.5" customWidth="1"/>
    <col min="6" max="6" width="11.125" customWidth="1"/>
    <col min="7" max="7" width="11.5" customWidth="1"/>
    <col min="8" max="8" width="12.75" customWidth="1"/>
    <col min="9" max="9" width="5.375" customWidth="1"/>
    <col min="10" max="10" width="21" customWidth="1"/>
    <col min="11" max="11" width="13.75" customWidth="1"/>
    <col min="12" max="12" width="11.125" customWidth="1"/>
    <col min="13" max="13" width="13.125" customWidth="1"/>
    <col min="14" max="14" width="15.625" customWidth="1"/>
    <col min="15" max="17" width="10.75" customWidth="1"/>
    <col min="18" max="26" width="10.5" customWidth="1"/>
  </cols>
  <sheetData>
    <row r="1" spans="1:26" ht="15.75">
      <c r="A1" s="67"/>
      <c r="B1" s="67"/>
      <c r="C1" s="67"/>
      <c r="D1" s="67"/>
      <c r="E1" s="67"/>
      <c r="F1" s="67"/>
      <c r="G1" s="67"/>
      <c r="H1" s="67"/>
      <c r="I1" s="67"/>
      <c r="J1" s="68"/>
      <c r="K1" s="69"/>
      <c r="L1" s="70"/>
      <c r="M1" s="70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6.5" customHeight="1">
      <c r="A2" s="67"/>
      <c r="B2" s="71"/>
      <c r="C2" s="71"/>
      <c r="D2" s="71"/>
      <c r="E2" s="71"/>
      <c r="F2" s="71"/>
      <c r="G2" s="71"/>
      <c r="H2" s="71"/>
      <c r="I2" s="71"/>
      <c r="J2" s="72"/>
      <c r="K2" s="73"/>
      <c r="L2" s="72"/>
      <c r="M2" s="72"/>
      <c r="N2" s="74"/>
      <c r="O2" s="74"/>
      <c r="P2" s="74"/>
      <c r="Q2" s="74"/>
      <c r="R2" s="67"/>
      <c r="S2" s="67"/>
      <c r="T2" s="67"/>
      <c r="U2" s="67"/>
      <c r="V2" s="67"/>
      <c r="W2" s="67"/>
      <c r="X2" s="67"/>
      <c r="Y2" s="67"/>
      <c r="Z2" s="67"/>
    </row>
    <row r="3" spans="1:26" ht="31.5" customHeight="1">
      <c r="A3" s="67"/>
      <c r="B3" s="71"/>
      <c r="C3" s="71"/>
      <c r="D3" s="71"/>
      <c r="E3" s="71"/>
      <c r="F3" s="71"/>
      <c r="G3" s="71"/>
      <c r="H3" s="71"/>
      <c r="I3" s="71"/>
      <c r="J3" s="68"/>
      <c r="K3" s="75"/>
      <c r="L3" s="75"/>
      <c r="M3" s="214" t="str">
        <f>'Infromacion General '!C2</f>
        <v>CLIENTE</v>
      </c>
      <c r="N3" s="136"/>
      <c r="O3" s="136"/>
      <c r="P3" s="74"/>
      <c r="Q3" s="74"/>
      <c r="R3" s="67"/>
      <c r="S3" s="67"/>
      <c r="T3" s="67"/>
      <c r="U3" s="67"/>
      <c r="V3" s="67"/>
      <c r="W3" s="67"/>
      <c r="X3" s="67"/>
      <c r="Y3" s="67"/>
      <c r="Z3" s="67"/>
    </row>
    <row r="4" spans="1:26" ht="21" customHeight="1">
      <c r="A4" s="67"/>
      <c r="B4" s="71"/>
      <c r="C4" s="71"/>
      <c r="D4" s="71"/>
      <c r="E4" s="71"/>
      <c r="F4" s="71"/>
      <c r="G4" s="71"/>
      <c r="H4" s="71"/>
      <c r="I4" s="71"/>
      <c r="J4" s="215" t="s">
        <v>107</v>
      </c>
      <c r="K4" s="136"/>
      <c r="L4" s="136"/>
      <c r="M4" s="136"/>
      <c r="N4" s="136"/>
      <c r="O4" s="136"/>
      <c r="P4" s="74"/>
      <c r="Q4" s="74"/>
      <c r="R4" s="67"/>
      <c r="S4" s="67"/>
      <c r="T4" s="67"/>
      <c r="U4" s="67"/>
      <c r="V4" s="67"/>
      <c r="W4" s="67"/>
      <c r="X4" s="67"/>
      <c r="Y4" s="67"/>
      <c r="Z4" s="67"/>
    </row>
    <row r="5" spans="1:26" ht="13.5" customHeight="1">
      <c r="A5" s="67"/>
      <c r="B5" s="71"/>
      <c r="C5" s="71"/>
      <c r="D5" s="71"/>
      <c r="E5" s="71"/>
      <c r="F5" s="71"/>
      <c r="G5" s="71"/>
      <c r="H5" s="71"/>
      <c r="I5" s="71"/>
      <c r="J5" s="77"/>
      <c r="K5" s="78"/>
      <c r="L5" s="216">
        <f>'Infromacion General '!F29/1000</f>
        <v>0</v>
      </c>
      <c r="M5" s="136"/>
      <c r="N5" s="136"/>
      <c r="O5" s="136"/>
      <c r="P5" s="74"/>
      <c r="Q5" s="74"/>
      <c r="R5" s="67"/>
      <c r="S5" s="67"/>
      <c r="T5" s="67"/>
      <c r="U5" s="67"/>
      <c r="V5" s="67"/>
      <c r="W5" s="67"/>
      <c r="X5" s="67"/>
      <c r="Y5" s="67"/>
      <c r="Z5" s="67"/>
    </row>
    <row r="6" spans="1:26" ht="18.75">
      <c r="A6" s="67"/>
      <c r="B6" s="217" t="s">
        <v>108</v>
      </c>
      <c r="C6" s="148"/>
      <c r="D6" s="148"/>
      <c r="E6" s="148"/>
      <c r="F6" s="148"/>
      <c r="G6" s="148"/>
      <c r="H6" s="149"/>
      <c r="I6" s="67"/>
      <c r="J6" s="217" t="s">
        <v>109</v>
      </c>
      <c r="K6" s="148"/>
      <c r="L6" s="148"/>
      <c r="M6" s="148"/>
      <c r="N6" s="148"/>
      <c r="O6" s="149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8.75">
      <c r="A7" s="67"/>
      <c r="B7" s="59"/>
      <c r="C7" s="59"/>
      <c r="D7" s="59"/>
      <c r="E7" s="59"/>
      <c r="F7" s="59"/>
      <c r="G7" s="218">
        <f>MONTH(G8)</f>
        <v>6</v>
      </c>
      <c r="H7" s="136"/>
      <c r="I7" s="67"/>
      <c r="J7" s="68"/>
      <c r="K7" s="69"/>
      <c r="L7" s="70"/>
      <c r="M7" s="70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.75">
      <c r="A8" s="66"/>
      <c r="B8" s="66"/>
      <c r="C8" s="212">
        <v>43830</v>
      </c>
      <c r="D8" s="171"/>
      <c r="E8" s="212">
        <v>44196</v>
      </c>
      <c r="F8" s="171"/>
      <c r="G8" s="212">
        <v>44377</v>
      </c>
      <c r="H8" s="171"/>
      <c r="I8" s="66"/>
      <c r="J8" s="79"/>
      <c r="K8" s="80">
        <f>C8</f>
        <v>43830</v>
      </c>
      <c r="L8" s="80">
        <f>E8</f>
        <v>44196</v>
      </c>
      <c r="M8" s="80">
        <f>G8</f>
        <v>44377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5.75">
      <c r="A9" s="81"/>
      <c r="B9" s="82"/>
      <c r="C9" s="83" t="s">
        <v>48</v>
      </c>
      <c r="D9" s="84" t="s">
        <v>47</v>
      </c>
      <c r="E9" s="83" t="s">
        <v>48</v>
      </c>
      <c r="F9" s="84" t="s">
        <v>47</v>
      </c>
      <c r="G9" s="83" t="s">
        <v>48</v>
      </c>
      <c r="H9" s="84" t="s">
        <v>47</v>
      </c>
      <c r="I9" s="81"/>
      <c r="J9" s="68" t="str">
        <f t="shared" ref="J9:K9" si="0">B10</f>
        <v>Activo Circulante</v>
      </c>
      <c r="K9" s="85">
        <f t="shared" si="0"/>
        <v>0</v>
      </c>
      <c r="L9" s="85">
        <f>E10</f>
        <v>0</v>
      </c>
      <c r="M9" s="85">
        <f>G10</f>
        <v>0</v>
      </c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5.75">
      <c r="A10" s="67"/>
      <c r="B10" s="86" t="s">
        <v>110</v>
      </c>
      <c r="C10" s="87"/>
      <c r="D10" s="88"/>
      <c r="E10" s="87"/>
      <c r="F10" s="88"/>
      <c r="G10" s="87"/>
      <c r="H10" s="88"/>
      <c r="I10" s="67"/>
      <c r="J10" s="89" t="str">
        <f t="shared" ref="J10:K10" si="1">B14</f>
        <v>Activo Fijo</v>
      </c>
      <c r="K10" s="85">
        <f t="shared" si="1"/>
        <v>0</v>
      </c>
      <c r="L10" s="90">
        <f>E14</f>
        <v>0</v>
      </c>
      <c r="M10" s="90">
        <f>G14</f>
        <v>0</v>
      </c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.75">
      <c r="A11" s="67"/>
      <c r="B11" t="s">
        <v>111</v>
      </c>
      <c r="C11" s="91"/>
      <c r="D11" s="88" t="e">
        <f>C11/C10</f>
        <v>#DIV/0!</v>
      </c>
      <c r="E11" s="91"/>
      <c r="F11" s="88" t="e">
        <f>E11/E10</f>
        <v>#DIV/0!</v>
      </c>
      <c r="G11" s="91"/>
      <c r="H11" s="88" t="e">
        <f>G11/G10</f>
        <v>#DIV/0!</v>
      </c>
      <c r="I11" s="67"/>
      <c r="J11" s="89" t="str">
        <f t="shared" ref="J11:K11" si="2">B18</f>
        <v>Otros Activos</v>
      </c>
      <c r="K11" s="85">
        <f t="shared" si="2"/>
        <v>0</v>
      </c>
      <c r="L11" s="90">
        <f>E18</f>
        <v>0</v>
      </c>
      <c r="M11" s="90">
        <f>G18</f>
        <v>0</v>
      </c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.75">
      <c r="A12" s="67"/>
      <c r="B12" s="92" t="s">
        <v>112</v>
      </c>
      <c r="C12" s="91"/>
      <c r="D12" s="88" t="e">
        <f>C12/C10</f>
        <v>#DIV/0!</v>
      </c>
      <c r="E12" s="91"/>
      <c r="F12" s="88" t="e">
        <f>E12/E10</f>
        <v>#DIV/0!</v>
      </c>
      <c r="G12" s="91"/>
      <c r="H12" s="88" t="e">
        <f>G12/G10</f>
        <v>#DIV/0!</v>
      </c>
      <c r="I12" s="67"/>
      <c r="J12" s="89" t="str">
        <f t="shared" ref="J12:K12" si="3">B20</f>
        <v>ACTIVO TOTAL</v>
      </c>
      <c r="K12" s="85">
        <f t="shared" si="3"/>
        <v>0</v>
      </c>
      <c r="L12" s="90">
        <f>E20</f>
        <v>0</v>
      </c>
      <c r="M12" s="90">
        <f>G20</f>
        <v>0</v>
      </c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.75">
      <c r="A13" s="67"/>
      <c r="B13" s="92" t="s">
        <v>113</v>
      </c>
      <c r="C13" s="91"/>
      <c r="D13" s="88" t="e">
        <f>C13/C10</f>
        <v>#DIV/0!</v>
      </c>
      <c r="E13" s="91"/>
      <c r="F13" s="88" t="e">
        <f>E13/E10</f>
        <v>#DIV/0!</v>
      </c>
      <c r="G13" s="91"/>
      <c r="H13" s="88" t="e">
        <f>G13/G10</f>
        <v>#DIV/0!</v>
      </c>
      <c r="I13" s="67"/>
      <c r="J13" s="68"/>
      <c r="K13" s="69"/>
      <c r="L13" s="70"/>
      <c r="M13" s="70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5.75">
      <c r="A14" s="67"/>
      <c r="B14" s="93" t="s">
        <v>114</v>
      </c>
      <c r="C14" s="87"/>
      <c r="D14" s="88"/>
      <c r="E14" s="87"/>
      <c r="F14" s="88"/>
      <c r="G14" s="87"/>
      <c r="H14" s="88"/>
      <c r="I14" s="67"/>
      <c r="J14" s="68"/>
      <c r="K14" s="69"/>
      <c r="L14" s="70"/>
      <c r="M14" s="70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5.75">
      <c r="A15" s="67"/>
      <c r="B15" s="92" t="s">
        <v>115</v>
      </c>
      <c r="C15" s="91"/>
      <c r="D15" s="88" t="e">
        <f>C15/C14</f>
        <v>#DIV/0!</v>
      </c>
      <c r="E15" s="91"/>
      <c r="F15" s="88" t="e">
        <f>E15/E14</f>
        <v>#DIV/0!</v>
      </c>
      <c r="G15" s="91"/>
      <c r="H15" s="88" t="e">
        <f>G15/G14</f>
        <v>#DIV/0!</v>
      </c>
      <c r="I15" s="67"/>
      <c r="J15" s="68"/>
      <c r="K15" s="69"/>
      <c r="L15" s="70"/>
      <c r="M15" s="70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.75">
      <c r="A16" s="67"/>
      <c r="B16" s="92" t="s">
        <v>116</v>
      </c>
      <c r="C16" s="91"/>
      <c r="D16" s="88" t="e">
        <f>C16/C14</f>
        <v>#DIV/0!</v>
      </c>
      <c r="E16" s="91"/>
      <c r="F16" s="88" t="e">
        <f>E16/E14</f>
        <v>#DIV/0!</v>
      </c>
      <c r="G16" s="91"/>
      <c r="H16" s="88" t="e">
        <f>G16/G14</f>
        <v>#DIV/0!</v>
      </c>
      <c r="I16" s="67"/>
      <c r="J16" s="68"/>
      <c r="K16" s="69"/>
      <c r="L16" s="70"/>
      <c r="M16" s="70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5.75">
      <c r="A17" s="67"/>
      <c r="B17" s="92" t="s">
        <v>117</v>
      </c>
      <c r="C17" s="91"/>
      <c r="D17" s="88" t="e">
        <f>C17/C14</f>
        <v>#DIV/0!</v>
      </c>
      <c r="E17" s="91"/>
      <c r="F17" s="88" t="e">
        <f>E17/E14</f>
        <v>#DIV/0!</v>
      </c>
      <c r="G17" s="91"/>
      <c r="H17" s="88" t="e">
        <f>G17/G14</f>
        <v>#DIV/0!</v>
      </c>
      <c r="I17" s="67"/>
      <c r="J17" s="68"/>
      <c r="K17" s="69"/>
      <c r="L17" s="70"/>
      <c r="M17" s="70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.75">
      <c r="A18" s="67"/>
      <c r="B18" s="93" t="s">
        <v>118</v>
      </c>
      <c r="C18" s="87"/>
      <c r="D18" s="88"/>
      <c r="E18" s="87"/>
      <c r="F18" s="88"/>
      <c r="G18" s="87"/>
      <c r="H18" s="88"/>
      <c r="I18" s="67"/>
      <c r="J18" s="68"/>
      <c r="K18" s="69"/>
      <c r="L18" s="70"/>
      <c r="M18" s="70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.75">
      <c r="A19" s="67"/>
      <c r="B19" s="92" t="s">
        <v>119</v>
      </c>
      <c r="C19" s="91"/>
      <c r="D19" s="88" t="e">
        <f>C19/C18</f>
        <v>#DIV/0!</v>
      </c>
      <c r="E19" s="91"/>
      <c r="F19" s="88" t="e">
        <f>E19/E18</f>
        <v>#DIV/0!</v>
      </c>
      <c r="G19" s="91"/>
      <c r="H19" s="88" t="e">
        <f>G19/G18</f>
        <v>#DIV/0!</v>
      </c>
      <c r="I19" s="67"/>
      <c r="J19" s="68"/>
      <c r="K19" s="69"/>
      <c r="L19" s="70"/>
      <c r="M19" s="70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.75">
      <c r="A20" s="67"/>
      <c r="B20" s="94" t="s">
        <v>120</v>
      </c>
      <c r="C20" s="95">
        <f>C10+C14+C18</f>
        <v>0</v>
      </c>
      <c r="D20" s="96"/>
      <c r="E20" s="95">
        <f>E10+E14+E18</f>
        <v>0</v>
      </c>
      <c r="F20" s="96"/>
      <c r="G20" s="95">
        <f>G10+G14+G18</f>
        <v>0</v>
      </c>
      <c r="H20" s="96"/>
      <c r="I20" s="67"/>
      <c r="J20" s="68"/>
      <c r="K20" s="97">
        <f>C8</f>
        <v>43830</v>
      </c>
      <c r="L20" s="98">
        <f>E8</f>
        <v>44196</v>
      </c>
      <c r="M20" s="98">
        <f>G8</f>
        <v>44377</v>
      </c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75" customHeight="1">
      <c r="A21" s="67"/>
      <c r="B21" s="93" t="s">
        <v>121</v>
      </c>
      <c r="C21" s="91"/>
      <c r="D21" s="88"/>
      <c r="E21" s="91"/>
      <c r="F21" s="88"/>
      <c r="G21" s="91"/>
      <c r="H21" s="88"/>
      <c r="I21" s="67"/>
      <c r="J21" s="89" t="str">
        <f t="shared" ref="J21:K21" si="4">B21</f>
        <v>Pasivo Circulante</v>
      </c>
      <c r="K21" s="85">
        <f t="shared" si="4"/>
        <v>0</v>
      </c>
      <c r="L21" s="90">
        <f>E21</f>
        <v>0</v>
      </c>
      <c r="M21" s="90">
        <f>G21</f>
        <v>0</v>
      </c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.75" customHeight="1">
      <c r="A22" s="67"/>
      <c r="B22" s="92" t="s">
        <v>122</v>
      </c>
      <c r="C22" s="91"/>
      <c r="D22" s="88" t="e">
        <f>C22/C21</f>
        <v>#DIV/0!</v>
      </c>
      <c r="E22" s="91"/>
      <c r="F22" s="88" t="e">
        <f>E22/E21</f>
        <v>#DIV/0!</v>
      </c>
      <c r="G22" s="91"/>
      <c r="H22" s="88" t="e">
        <f>G22/G21</f>
        <v>#DIV/0!</v>
      </c>
      <c r="I22" s="67"/>
      <c r="J22" s="89" t="str">
        <f t="shared" ref="J22:K22" si="5">B25</f>
        <v>Pasivo Largo Plazo</v>
      </c>
      <c r="K22" s="85">
        <f t="shared" si="5"/>
        <v>0</v>
      </c>
      <c r="L22" s="90">
        <f>E25</f>
        <v>0</v>
      </c>
      <c r="M22" s="90">
        <f>G25</f>
        <v>0</v>
      </c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75" customHeight="1">
      <c r="A23" s="67"/>
      <c r="B23" s="92" t="s">
        <v>123</v>
      </c>
      <c r="C23" s="91"/>
      <c r="D23" s="88" t="e">
        <f>C23/C21</f>
        <v>#DIV/0!</v>
      </c>
      <c r="E23" s="91"/>
      <c r="F23" s="88" t="e">
        <f>E23/E21</f>
        <v>#DIV/0!</v>
      </c>
      <c r="G23" s="91"/>
      <c r="H23" s="88" t="e">
        <f>G23/G21</f>
        <v>#DIV/0!</v>
      </c>
      <c r="I23" s="67"/>
      <c r="J23" s="89" t="str">
        <f t="shared" ref="J23:K23" si="6">B28</f>
        <v>PASIVO TOTAL</v>
      </c>
      <c r="K23" s="85">
        <f t="shared" si="6"/>
        <v>0</v>
      </c>
      <c r="L23" s="90">
        <f>E28</f>
        <v>0</v>
      </c>
      <c r="M23" s="90">
        <f>G28</f>
        <v>0</v>
      </c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75" customHeight="1">
      <c r="A24" s="67"/>
      <c r="B24" s="92" t="s">
        <v>124</v>
      </c>
      <c r="C24" s="91"/>
      <c r="D24" s="88" t="e">
        <f>C24/C21</f>
        <v>#DIV/0!</v>
      </c>
      <c r="E24" s="91"/>
      <c r="F24" s="88" t="e">
        <f>E24/E21</f>
        <v>#DIV/0!</v>
      </c>
      <c r="G24" s="91"/>
      <c r="H24" s="88" t="e">
        <f>G24/G21</f>
        <v>#DIV/0!</v>
      </c>
      <c r="I24" s="67"/>
      <c r="J24" s="68"/>
      <c r="K24" s="69"/>
      <c r="L24" s="70"/>
      <c r="M24" s="70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75" customHeight="1">
      <c r="A25" s="67"/>
      <c r="B25" s="93" t="s">
        <v>125</v>
      </c>
      <c r="C25" s="87"/>
      <c r="D25" s="88"/>
      <c r="E25" s="87"/>
      <c r="F25" s="88"/>
      <c r="G25" s="87"/>
      <c r="H25" s="88"/>
      <c r="I25" s="67"/>
      <c r="J25" s="68"/>
      <c r="K25" s="69"/>
      <c r="L25" s="70"/>
      <c r="M25" s="70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75" customHeight="1">
      <c r="A26" s="67"/>
      <c r="B26" s="92" t="s">
        <v>126</v>
      </c>
      <c r="C26" s="91"/>
      <c r="D26" s="88" t="e">
        <f>C26/C25</f>
        <v>#DIV/0!</v>
      </c>
      <c r="E26" s="91"/>
      <c r="F26" s="88" t="e">
        <f>E26/E25</f>
        <v>#DIV/0!</v>
      </c>
      <c r="G26" s="91"/>
      <c r="H26" s="88" t="e">
        <f>G26/G25</f>
        <v>#DIV/0!</v>
      </c>
      <c r="I26" s="67"/>
      <c r="J26" s="68"/>
      <c r="K26" s="69"/>
      <c r="L26" s="70"/>
      <c r="M26" s="70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.75" customHeight="1">
      <c r="A27" s="67"/>
      <c r="B27" s="92" t="s">
        <v>127</v>
      </c>
      <c r="C27" s="91"/>
      <c r="D27" s="88"/>
      <c r="E27" s="91"/>
      <c r="F27" s="88"/>
      <c r="G27" s="91"/>
      <c r="H27" s="88"/>
      <c r="I27" s="67"/>
      <c r="J27" s="68"/>
      <c r="K27" s="69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.75" customHeight="1">
      <c r="A28" s="67"/>
      <c r="B28" s="94" t="s">
        <v>128</v>
      </c>
      <c r="C28" s="95">
        <f>C21+C25+C27</f>
        <v>0</v>
      </c>
      <c r="D28" s="96"/>
      <c r="E28" s="95">
        <f>E21+E25+E27</f>
        <v>0</v>
      </c>
      <c r="F28" s="96"/>
      <c r="G28" s="95">
        <f>G21+G25+G27</f>
        <v>0</v>
      </c>
      <c r="H28" s="96"/>
      <c r="I28" s="67"/>
      <c r="J28" s="68"/>
      <c r="K28" s="69"/>
      <c r="L28" s="70"/>
      <c r="M28" s="70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.75" customHeight="1">
      <c r="A29" s="67"/>
      <c r="B29" s="92" t="s">
        <v>129</v>
      </c>
      <c r="C29" s="91"/>
      <c r="D29" s="88" t="e">
        <f>C29/C31</f>
        <v>#DIV/0!</v>
      </c>
      <c r="E29" s="91"/>
      <c r="F29" s="88" t="e">
        <f>E29/E31</f>
        <v>#DIV/0!</v>
      </c>
      <c r="G29" s="91"/>
      <c r="H29" s="88" t="e">
        <f>G29/G31</f>
        <v>#DIV/0!</v>
      </c>
      <c r="I29" s="67"/>
      <c r="J29" s="68"/>
      <c r="K29" s="69"/>
      <c r="L29" s="70"/>
      <c r="M29" s="70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>
      <c r="A30" s="67"/>
      <c r="B30" s="92" t="s">
        <v>130</v>
      </c>
      <c r="C30" s="91"/>
      <c r="D30" s="88" t="e">
        <f>C30/C31</f>
        <v>#DIV/0!</v>
      </c>
      <c r="E30" s="91"/>
      <c r="F30" s="88" t="e">
        <f>E30/E31</f>
        <v>#DIV/0!</v>
      </c>
      <c r="G30" s="91"/>
      <c r="H30" s="88" t="e">
        <f>G30/G31</f>
        <v>#DIV/0!</v>
      </c>
      <c r="I30" s="67"/>
      <c r="J30" s="68"/>
      <c r="K30" s="69"/>
      <c r="L30" s="70"/>
      <c r="M30" s="70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>
      <c r="A31" s="67"/>
      <c r="B31" s="92" t="s">
        <v>131</v>
      </c>
      <c r="C31" s="91"/>
      <c r="D31" s="88"/>
      <c r="E31" s="91"/>
      <c r="F31" s="88"/>
      <c r="G31" s="91"/>
      <c r="H31" s="88"/>
      <c r="I31" s="67"/>
      <c r="J31" s="68"/>
      <c r="K31" s="69"/>
      <c r="L31" s="70"/>
      <c r="M31" s="70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8"/>
      <c r="K32" s="69"/>
      <c r="L32" s="70"/>
      <c r="M32" s="70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75" customHeight="1">
      <c r="A33" s="67"/>
      <c r="B33" s="213" t="s">
        <v>132</v>
      </c>
      <c r="C33" s="148"/>
      <c r="D33" s="148"/>
      <c r="E33" s="148"/>
      <c r="F33" s="148"/>
      <c r="G33" s="148"/>
      <c r="H33" s="149"/>
      <c r="I33" s="67"/>
      <c r="J33" s="68"/>
      <c r="K33" s="69"/>
      <c r="L33" s="70"/>
      <c r="M33" s="70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75" customHeight="1">
      <c r="A34" s="67"/>
      <c r="B34" s="86" t="s">
        <v>133</v>
      </c>
      <c r="C34" s="99"/>
      <c r="D34" s="100">
        <v>1</v>
      </c>
      <c r="E34" s="99"/>
      <c r="F34" s="100">
        <v>1</v>
      </c>
      <c r="G34" s="99"/>
      <c r="H34" s="100">
        <v>1</v>
      </c>
      <c r="I34" s="67"/>
      <c r="J34" s="68"/>
      <c r="K34" s="97">
        <f>C8</f>
        <v>43830</v>
      </c>
      <c r="L34" s="98">
        <f>E8</f>
        <v>44196</v>
      </c>
      <c r="M34" s="98">
        <f>G8</f>
        <v>44377</v>
      </c>
      <c r="N34" s="70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75" customHeight="1">
      <c r="A35" s="67"/>
      <c r="B35" t="s">
        <v>134</v>
      </c>
      <c r="C35" s="99"/>
      <c r="D35" s="100" t="e">
        <f t="shared" ref="D35:D45" si="7">C35/$C$34</f>
        <v>#DIV/0!</v>
      </c>
      <c r="E35" s="99"/>
      <c r="F35" s="100" t="e">
        <f t="shared" ref="F35:F45" si="8">E35/$E$34</f>
        <v>#DIV/0!</v>
      </c>
      <c r="G35" s="99"/>
      <c r="H35" s="100" t="e">
        <f t="shared" ref="H35:H45" si="9">G35/$G$34</f>
        <v>#DIV/0!</v>
      </c>
      <c r="I35" s="67"/>
      <c r="J35" s="68"/>
      <c r="K35" s="70"/>
      <c r="L35" s="70"/>
      <c r="M35" s="70"/>
      <c r="N35" s="70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>
      <c r="A36" s="67"/>
      <c r="B36" s="101" t="s">
        <v>135</v>
      </c>
      <c r="C36" s="102">
        <f>C34-C35</f>
        <v>0</v>
      </c>
      <c r="D36" s="103" t="e">
        <f t="shared" si="7"/>
        <v>#DIV/0!</v>
      </c>
      <c r="E36" s="102">
        <f>E34-E35</f>
        <v>0</v>
      </c>
      <c r="F36" s="103" t="e">
        <f t="shared" si="8"/>
        <v>#DIV/0!</v>
      </c>
      <c r="G36" s="102">
        <f>G34-G35</f>
        <v>0</v>
      </c>
      <c r="H36" s="103" t="e">
        <f t="shared" si="9"/>
        <v>#DIV/0!</v>
      </c>
      <c r="I36" s="67"/>
      <c r="J36" s="68" t="str">
        <f t="shared" ref="J36:K36" si="10">B35</f>
        <v>Costos de Venta</v>
      </c>
      <c r="K36" s="104">
        <f t="shared" si="10"/>
        <v>0</v>
      </c>
      <c r="L36" s="104">
        <f>E35</f>
        <v>0</v>
      </c>
      <c r="M36" s="104">
        <f>G35</f>
        <v>0</v>
      </c>
      <c r="N36" s="70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75" customHeight="1">
      <c r="A37" s="67"/>
      <c r="B37" t="s">
        <v>136</v>
      </c>
      <c r="C37" s="99"/>
      <c r="D37" s="100" t="e">
        <f t="shared" si="7"/>
        <v>#DIV/0!</v>
      </c>
      <c r="E37" s="99"/>
      <c r="F37" s="100" t="e">
        <f t="shared" si="8"/>
        <v>#DIV/0!</v>
      </c>
      <c r="G37" s="99"/>
      <c r="H37" s="100" t="e">
        <f t="shared" si="9"/>
        <v>#DIV/0!</v>
      </c>
      <c r="I37" s="67"/>
      <c r="J37" s="68" t="str">
        <f t="shared" ref="J37:K37" si="11">B37</f>
        <v>Gastos de Op.</v>
      </c>
      <c r="K37" s="104">
        <f t="shared" si="11"/>
        <v>0</v>
      </c>
      <c r="L37" s="104">
        <f>E37</f>
        <v>0</v>
      </c>
      <c r="M37" s="104">
        <f>G37</f>
        <v>0</v>
      </c>
      <c r="N37" s="70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75" customHeight="1">
      <c r="A38" s="67"/>
      <c r="B38" s="101" t="s">
        <v>137</v>
      </c>
      <c r="C38" s="102">
        <f>C36-C37</f>
        <v>0</v>
      </c>
      <c r="D38" s="103" t="e">
        <f t="shared" si="7"/>
        <v>#DIV/0!</v>
      </c>
      <c r="E38" s="102">
        <f>E36-E37</f>
        <v>0</v>
      </c>
      <c r="F38" s="103" t="e">
        <f t="shared" si="8"/>
        <v>#DIV/0!</v>
      </c>
      <c r="G38" s="102">
        <f>G36-G37</f>
        <v>0</v>
      </c>
      <c r="H38" s="103" t="e">
        <f t="shared" si="9"/>
        <v>#DIV/0!</v>
      </c>
      <c r="I38" s="67"/>
      <c r="J38" s="68" t="str">
        <f t="shared" ref="J38:K38" si="12">B43</f>
        <v>Impuestos</v>
      </c>
      <c r="K38" s="104">
        <f t="shared" si="12"/>
        <v>0</v>
      </c>
      <c r="L38" s="104">
        <f t="shared" ref="L38:L40" si="13">E43</f>
        <v>0</v>
      </c>
      <c r="M38" s="104">
        <f t="shared" ref="M38:M40" si="14">G43</f>
        <v>0</v>
      </c>
      <c r="N38" s="70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75" customHeight="1">
      <c r="A39" s="67"/>
      <c r="B39" t="s">
        <v>138</v>
      </c>
      <c r="C39" s="99"/>
      <c r="D39" s="100" t="e">
        <f t="shared" si="7"/>
        <v>#DIV/0!</v>
      </c>
      <c r="E39" s="99"/>
      <c r="F39" s="100" t="e">
        <f t="shared" si="8"/>
        <v>#DIV/0!</v>
      </c>
      <c r="G39" s="99"/>
      <c r="H39" s="100" t="e">
        <f t="shared" si="9"/>
        <v>#DIV/0!</v>
      </c>
      <c r="I39" s="67"/>
      <c r="J39" s="68" t="str">
        <f t="shared" ref="J39:K39" si="15">B44</f>
        <v>Depreciacion</v>
      </c>
      <c r="K39" s="104">
        <f t="shared" si="15"/>
        <v>0</v>
      </c>
      <c r="L39" s="104">
        <f t="shared" si="13"/>
        <v>0</v>
      </c>
      <c r="M39" s="104">
        <f t="shared" si="14"/>
        <v>0</v>
      </c>
      <c r="N39" s="70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75" customHeight="1">
      <c r="A40" s="67"/>
      <c r="B40" t="s">
        <v>139</v>
      </c>
      <c r="C40" s="99"/>
      <c r="D40" s="100" t="e">
        <f t="shared" si="7"/>
        <v>#DIV/0!</v>
      </c>
      <c r="E40" s="99"/>
      <c r="F40" s="100" t="e">
        <f t="shared" si="8"/>
        <v>#DIV/0!</v>
      </c>
      <c r="G40" s="99"/>
      <c r="H40" s="100" t="e">
        <f t="shared" si="9"/>
        <v>#DIV/0!</v>
      </c>
      <c r="I40" s="67"/>
      <c r="J40" s="68" t="str">
        <f t="shared" ref="J40:K40" si="16">B45</f>
        <v>UTILIDAD NETA</v>
      </c>
      <c r="K40" s="104">
        <f t="shared" si="16"/>
        <v>0</v>
      </c>
      <c r="L40" s="104">
        <f t="shared" si="13"/>
        <v>0</v>
      </c>
      <c r="M40" s="104">
        <f t="shared" si="14"/>
        <v>0</v>
      </c>
      <c r="N40" s="70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75" customHeight="1">
      <c r="A41" s="67"/>
      <c r="B41" t="s">
        <v>140</v>
      </c>
      <c r="C41" s="99"/>
      <c r="D41" s="100" t="e">
        <f t="shared" si="7"/>
        <v>#DIV/0!</v>
      </c>
      <c r="E41" s="99"/>
      <c r="F41" s="100" t="e">
        <f t="shared" si="8"/>
        <v>#DIV/0!</v>
      </c>
      <c r="G41" s="99"/>
      <c r="H41" s="100" t="e">
        <f t="shared" si="9"/>
        <v>#DIV/0!</v>
      </c>
      <c r="I41" s="67"/>
      <c r="J41" s="68"/>
      <c r="K41" s="69"/>
      <c r="L41" s="70"/>
      <c r="M41" s="70"/>
      <c r="N41" s="70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75" customHeight="1">
      <c r="A42" s="67"/>
      <c r="B42" s="101" t="s">
        <v>141</v>
      </c>
      <c r="C42" s="102">
        <f>C38-C39+C40-C41</f>
        <v>0</v>
      </c>
      <c r="D42" s="103" t="e">
        <f t="shared" si="7"/>
        <v>#DIV/0!</v>
      </c>
      <c r="E42" s="102">
        <f>E38-E39+E40-E41</f>
        <v>0</v>
      </c>
      <c r="F42" s="103" t="e">
        <f t="shared" si="8"/>
        <v>#DIV/0!</v>
      </c>
      <c r="G42" s="102">
        <f>G38-G39+G40-G41</f>
        <v>0</v>
      </c>
      <c r="H42" s="103" t="e">
        <f t="shared" si="9"/>
        <v>#DIV/0!</v>
      </c>
      <c r="I42" s="67"/>
      <c r="J42" s="105"/>
      <c r="K42" s="81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75" customHeight="1">
      <c r="A43" s="67"/>
      <c r="B43" t="s">
        <v>142</v>
      </c>
      <c r="C43" s="99"/>
      <c r="D43" s="100" t="e">
        <f t="shared" si="7"/>
        <v>#DIV/0!</v>
      </c>
      <c r="E43" s="99"/>
      <c r="F43" s="100" t="e">
        <f t="shared" si="8"/>
        <v>#DIV/0!</v>
      </c>
      <c r="G43" s="99"/>
      <c r="H43" s="100" t="e">
        <f t="shared" si="9"/>
        <v>#DIV/0!</v>
      </c>
      <c r="I43" s="67"/>
      <c r="J43" s="105"/>
      <c r="K43" s="81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75" customHeight="1">
      <c r="A44" s="67"/>
      <c r="B44" t="s">
        <v>143</v>
      </c>
      <c r="C44" s="99">
        <v>0</v>
      </c>
      <c r="D44" s="100" t="e">
        <f t="shared" si="7"/>
        <v>#DIV/0!</v>
      </c>
      <c r="E44" s="99"/>
      <c r="F44" s="100" t="e">
        <f t="shared" si="8"/>
        <v>#DIV/0!</v>
      </c>
      <c r="G44" s="99"/>
      <c r="H44" s="100" t="e">
        <f t="shared" si="9"/>
        <v>#DIV/0!</v>
      </c>
      <c r="I44" s="67"/>
      <c r="J44" s="105"/>
      <c r="K44" s="81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75" customHeight="1">
      <c r="A45" s="67"/>
      <c r="B45" s="101" t="s">
        <v>144</v>
      </c>
      <c r="C45" s="102">
        <f>C42-C43-C44</f>
        <v>0</v>
      </c>
      <c r="D45" s="103" t="e">
        <f t="shared" si="7"/>
        <v>#DIV/0!</v>
      </c>
      <c r="E45" s="102">
        <f>E42-E43-E44</f>
        <v>0</v>
      </c>
      <c r="F45" s="103" t="e">
        <f t="shared" si="8"/>
        <v>#DIV/0!</v>
      </c>
      <c r="G45" s="102">
        <f>G42-G43-G44</f>
        <v>0</v>
      </c>
      <c r="H45" s="103" t="e">
        <f t="shared" si="9"/>
        <v>#DIV/0!</v>
      </c>
      <c r="I45" s="67"/>
      <c r="J45" s="105"/>
      <c r="K45" s="81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75" customHeight="1">
      <c r="A46" s="67"/>
      <c r="I46" s="67"/>
      <c r="J46" s="105"/>
      <c r="K46" s="81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6.5" customHeight="1">
      <c r="A47" s="67"/>
      <c r="B47" s="106" t="s">
        <v>145</v>
      </c>
      <c r="C47" t="e">
        <f>'Infromacion General '!Q63:R63/1000</f>
        <v>#VALUE!</v>
      </c>
      <c r="D47" s="67"/>
      <c r="E47" s="67"/>
      <c r="F47" s="67"/>
      <c r="G47" s="67"/>
      <c r="H47" s="67"/>
      <c r="I47" s="67"/>
      <c r="J47" s="105"/>
      <c r="K47" s="81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105"/>
      <c r="K48" s="81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105"/>
      <c r="K49" s="81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8"/>
      <c r="K50" s="69"/>
      <c r="L50" s="70"/>
      <c r="M50" s="70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8"/>
      <c r="K51" s="69"/>
      <c r="L51" s="70"/>
      <c r="M51" s="70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8"/>
      <c r="K52" s="69"/>
      <c r="L52" s="70"/>
      <c r="M52" s="70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8"/>
      <c r="K53" s="69"/>
      <c r="L53" s="70"/>
      <c r="M53" s="70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8"/>
      <c r="K54" s="69"/>
      <c r="L54" s="70"/>
      <c r="M54" s="70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8"/>
      <c r="K55" s="69"/>
      <c r="L55" s="70"/>
      <c r="M55" s="70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8"/>
      <c r="K56" s="69"/>
      <c r="L56" s="70"/>
      <c r="M56" s="70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8"/>
      <c r="K57" s="69"/>
      <c r="L57" s="70"/>
      <c r="M57" s="70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8"/>
      <c r="K58" s="69"/>
      <c r="L58" s="70"/>
      <c r="M58" s="70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8"/>
      <c r="K59" s="69"/>
      <c r="L59" s="70"/>
      <c r="M59" s="70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8"/>
      <c r="K60" s="69"/>
      <c r="L60" s="70"/>
      <c r="M60" s="70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8"/>
      <c r="K61" s="69"/>
      <c r="L61" s="70"/>
      <c r="M61" s="70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8"/>
      <c r="K62" s="69"/>
      <c r="L62" s="70"/>
      <c r="M62" s="70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8"/>
      <c r="K63" s="69"/>
      <c r="L63" s="70"/>
      <c r="M63" s="70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8"/>
      <c r="K64" s="69"/>
      <c r="L64" s="70"/>
      <c r="M64" s="70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8"/>
      <c r="K65" s="69"/>
      <c r="L65" s="70"/>
      <c r="M65" s="70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8"/>
      <c r="K66" s="69"/>
      <c r="L66" s="70"/>
      <c r="M66" s="70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8"/>
      <c r="K67" s="69"/>
      <c r="L67" s="70"/>
      <c r="M67" s="70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8"/>
      <c r="K68" s="69"/>
      <c r="L68" s="70"/>
      <c r="M68" s="70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8"/>
      <c r="K69" s="69"/>
      <c r="L69" s="70"/>
      <c r="M69" s="70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8"/>
      <c r="K70" s="69"/>
      <c r="L70" s="70"/>
      <c r="M70" s="70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8"/>
      <c r="K71" s="69"/>
      <c r="L71" s="70"/>
      <c r="M71" s="70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8"/>
      <c r="K72" s="69"/>
      <c r="L72" s="70"/>
      <c r="M72" s="70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8"/>
      <c r="K73" s="69"/>
      <c r="L73" s="70"/>
      <c r="M73" s="70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8"/>
      <c r="K74" s="69"/>
      <c r="L74" s="70"/>
      <c r="M74" s="70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8"/>
      <c r="K75" s="69"/>
      <c r="L75" s="70"/>
      <c r="M75" s="70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8"/>
      <c r="K76" s="69"/>
      <c r="L76" s="70"/>
      <c r="M76" s="70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8"/>
      <c r="K77" s="69"/>
      <c r="L77" s="70"/>
      <c r="M77" s="70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8"/>
      <c r="K78" s="69"/>
      <c r="L78" s="70"/>
      <c r="M78" s="70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8"/>
      <c r="K79" s="69"/>
      <c r="L79" s="70"/>
      <c r="M79" s="70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8"/>
      <c r="K80" s="69"/>
      <c r="L80" s="70"/>
      <c r="M80" s="70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8"/>
      <c r="K81" s="69"/>
      <c r="L81" s="70"/>
      <c r="M81" s="70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8"/>
      <c r="K82" s="69"/>
      <c r="L82" s="70"/>
      <c r="M82" s="70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8"/>
      <c r="K83" s="69"/>
      <c r="L83" s="70"/>
      <c r="M83" s="70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8"/>
      <c r="K84" s="69"/>
      <c r="L84" s="70"/>
      <c r="M84" s="70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8"/>
      <c r="K85" s="69"/>
      <c r="L85" s="70"/>
      <c r="M85" s="70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8"/>
      <c r="K86" s="69"/>
      <c r="L86" s="70"/>
      <c r="M86" s="70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8"/>
      <c r="K87" s="69"/>
      <c r="L87" s="70"/>
      <c r="M87" s="70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8"/>
      <c r="K88" s="69"/>
      <c r="L88" s="70"/>
      <c r="M88" s="70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8"/>
      <c r="K89" s="69"/>
      <c r="L89" s="70"/>
      <c r="M89" s="70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8"/>
      <c r="K90" s="69"/>
      <c r="L90" s="70"/>
      <c r="M90" s="70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8"/>
      <c r="K91" s="69"/>
      <c r="L91" s="70"/>
      <c r="M91" s="70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8"/>
      <c r="K92" s="69"/>
      <c r="L92" s="70"/>
      <c r="M92" s="70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8"/>
      <c r="K93" s="69"/>
      <c r="L93" s="70"/>
      <c r="M93" s="70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8"/>
      <c r="K94" s="69"/>
      <c r="L94" s="70"/>
      <c r="M94" s="70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8"/>
      <c r="K95" s="69"/>
      <c r="L95" s="70"/>
      <c r="M95" s="70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8"/>
      <c r="K96" s="69"/>
      <c r="L96" s="70"/>
      <c r="M96" s="70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8"/>
      <c r="K97" s="69"/>
      <c r="L97" s="70"/>
      <c r="M97" s="70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8"/>
      <c r="K98" s="69"/>
      <c r="L98" s="70"/>
      <c r="M98" s="70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8"/>
      <c r="K99" s="69"/>
      <c r="L99" s="70"/>
      <c r="M99" s="70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8"/>
      <c r="K100" s="69"/>
      <c r="L100" s="70"/>
      <c r="M100" s="70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8"/>
      <c r="K101" s="69"/>
      <c r="L101" s="70"/>
      <c r="M101" s="70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8"/>
      <c r="K102" s="69"/>
      <c r="L102" s="70"/>
      <c r="M102" s="70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8"/>
      <c r="K103" s="69"/>
      <c r="L103" s="70"/>
      <c r="M103" s="70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8"/>
      <c r="K104" s="69"/>
      <c r="L104" s="70"/>
      <c r="M104" s="70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8"/>
      <c r="K105" s="69"/>
      <c r="L105" s="70"/>
      <c r="M105" s="70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8"/>
      <c r="K106" s="69"/>
      <c r="L106" s="70"/>
      <c r="M106" s="70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8"/>
      <c r="K107" s="69"/>
      <c r="L107" s="70"/>
      <c r="M107" s="70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8"/>
      <c r="K108" s="69"/>
      <c r="L108" s="70"/>
      <c r="M108" s="70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8"/>
      <c r="K109" s="69"/>
      <c r="L109" s="70"/>
      <c r="M109" s="70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8"/>
      <c r="K110" s="69"/>
      <c r="L110" s="70"/>
      <c r="M110" s="70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8"/>
      <c r="K111" s="69"/>
      <c r="L111" s="70"/>
      <c r="M111" s="70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8"/>
      <c r="K112" s="69"/>
      <c r="L112" s="70"/>
      <c r="M112" s="70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8"/>
      <c r="K113" s="69"/>
      <c r="L113" s="70"/>
      <c r="M113" s="70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8"/>
      <c r="K114" s="69"/>
      <c r="L114" s="70"/>
      <c r="M114" s="70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8"/>
      <c r="K115" s="69"/>
      <c r="L115" s="70"/>
      <c r="M115" s="70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8"/>
      <c r="K116" s="69"/>
      <c r="L116" s="70"/>
      <c r="M116" s="70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8"/>
      <c r="K117" s="69"/>
      <c r="L117" s="70"/>
      <c r="M117" s="70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8"/>
      <c r="K118" s="69"/>
      <c r="L118" s="70"/>
      <c r="M118" s="70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8"/>
      <c r="K119" s="69"/>
      <c r="L119" s="70"/>
      <c r="M119" s="70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8"/>
      <c r="K120" s="69"/>
      <c r="L120" s="70"/>
      <c r="M120" s="70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8"/>
      <c r="K121" s="69"/>
      <c r="L121" s="70"/>
      <c r="M121" s="70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8"/>
      <c r="K122" s="69"/>
      <c r="L122" s="70"/>
      <c r="M122" s="70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8"/>
      <c r="K123" s="69"/>
      <c r="L123" s="70"/>
      <c r="M123" s="70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8"/>
      <c r="K124" s="69"/>
      <c r="L124" s="70"/>
      <c r="M124" s="70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8"/>
      <c r="K125" s="69"/>
      <c r="L125" s="70"/>
      <c r="M125" s="70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8"/>
      <c r="K126" s="69"/>
      <c r="L126" s="70"/>
      <c r="M126" s="70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8"/>
      <c r="K127" s="69"/>
      <c r="L127" s="70"/>
      <c r="M127" s="70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8"/>
      <c r="K128" s="69"/>
      <c r="L128" s="70"/>
      <c r="M128" s="70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8"/>
      <c r="K129" s="69"/>
      <c r="L129" s="70"/>
      <c r="M129" s="70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8"/>
      <c r="K130" s="69"/>
      <c r="L130" s="70"/>
      <c r="M130" s="70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8"/>
      <c r="K131" s="69"/>
      <c r="L131" s="70"/>
      <c r="M131" s="70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8"/>
      <c r="K132" s="69"/>
      <c r="L132" s="70"/>
      <c r="M132" s="70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8"/>
      <c r="K133" s="69"/>
      <c r="L133" s="70"/>
      <c r="M133" s="70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8"/>
      <c r="K134" s="69"/>
      <c r="L134" s="70"/>
      <c r="M134" s="70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8"/>
      <c r="K135" s="69"/>
      <c r="L135" s="70"/>
      <c r="M135" s="70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8"/>
      <c r="K136" s="69"/>
      <c r="L136" s="70"/>
      <c r="M136" s="70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8"/>
      <c r="K137" s="69"/>
      <c r="L137" s="70"/>
      <c r="M137" s="70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8"/>
      <c r="K138" s="69"/>
      <c r="L138" s="70"/>
      <c r="M138" s="70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8"/>
      <c r="K139" s="69"/>
      <c r="L139" s="70"/>
      <c r="M139" s="70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8"/>
      <c r="K140" s="69"/>
      <c r="L140" s="70"/>
      <c r="M140" s="70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8"/>
      <c r="K141" s="69"/>
      <c r="L141" s="70"/>
      <c r="M141" s="70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8"/>
      <c r="K142" s="69"/>
      <c r="L142" s="70"/>
      <c r="M142" s="70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8"/>
      <c r="K143" s="69"/>
      <c r="L143" s="70"/>
      <c r="M143" s="70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8"/>
      <c r="K144" s="69"/>
      <c r="L144" s="70"/>
      <c r="M144" s="70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8"/>
      <c r="K145" s="69"/>
      <c r="L145" s="70"/>
      <c r="M145" s="70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8"/>
      <c r="K146" s="69"/>
      <c r="L146" s="70"/>
      <c r="M146" s="70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8"/>
      <c r="K147" s="69"/>
      <c r="L147" s="70"/>
      <c r="M147" s="70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8"/>
      <c r="K148" s="69"/>
      <c r="L148" s="70"/>
      <c r="M148" s="70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8"/>
      <c r="K149" s="69"/>
      <c r="L149" s="70"/>
      <c r="M149" s="70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8"/>
      <c r="K150" s="69"/>
      <c r="L150" s="70"/>
      <c r="M150" s="70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8"/>
      <c r="K151" s="69"/>
      <c r="L151" s="70"/>
      <c r="M151" s="70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8"/>
      <c r="K152" s="69"/>
      <c r="L152" s="70"/>
      <c r="M152" s="70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8"/>
      <c r="K153" s="69"/>
      <c r="L153" s="70"/>
      <c r="M153" s="70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8"/>
      <c r="K154" s="69"/>
      <c r="L154" s="70"/>
      <c r="M154" s="70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8"/>
      <c r="K155" s="69"/>
      <c r="L155" s="70"/>
      <c r="M155" s="70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8"/>
      <c r="K156" s="69"/>
      <c r="L156" s="70"/>
      <c r="M156" s="70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8"/>
      <c r="K157" s="69"/>
      <c r="L157" s="70"/>
      <c r="M157" s="70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8"/>
      <c r="K158" s="69"/>
      <c r="L158" s="70"/>
      <c r="M158" s="70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8"/>
      <c r="K159" s="69"/>
      <c r="L159" s="70"/>
      <c r="M159" s="70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8"/>
      <c r="K160" s="69"/>
      <c r="L160" s="70"/>
      <c r="M160" s="70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8"/>
      <c r="K161" s="69"/>
      <c r="L161" s="70"/>
      <c r="M161" s="70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8"/>
      <c r="K162" s="69"/>
      <c r="L162" s="70"/>
      <c r="M162" s="70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8"/>
      <c r="K163" s="69"/>
      <c r="L163" s="70"/>
      <c r="M163" s="70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8"/>
      <c r="K164" s="69"/>
      <c r="L164" s="70"/>
      <c r="M164" s="70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8"/>
      <c r="K165" s="69"/>
      <c r="L165" s="70"/>
      <c r="M165" s="70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8"/>
      <c r="K166" s="69"/>
      <c r="L166" s="70"/>
      <c r="M166" s="70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8"/>
      <c r="K167" s="69"/>
      <c r="L167" s="70"/>
      <c r="M167" s="70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8"/>
      <c r="K168" s="69"/>
      <c r="L168" s="70"/>
      <c r="M168" s="70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8"/>
      <c r="K169" s="69"/>
      <c r="L169" s="70"/>
      <c r="M169" s="70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8"/>
      <c r="K170" s="69"/>
      <c r="L170" s="70"/>
      <c r="M170" s="70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8"/>
      <c r="K171" s="69"/>
      <c r="L171" s="70"/>
      <c r="M171" s="70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8"/>
      <c r="K172" s="69"/>
      <c r="L172" s="70"/>
      <c r="M172" s="70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8"/>
      <c r="K173" s="69"/>
      <c r="L173" s="70"/>
      <c r="M173" s="70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8"/>
      <c r="K174" s="69"/>
      <c r="L174" s="70"/>
      <c r="M174" s="70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8"/>
      <c r="K175" s="69"/>
      <c r="L175" s="70"/>
      <c r="M175" s="70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8"/>
      <c r="K176" s="69"/>
      <c r="L176" s="70"/>
      <c r="M176" s="70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8"/>
      <c r="K177" s="69"/>
      <c r="L177" s="70"/>
      <c r="M177" s="70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8"/>
      <c r="K178" s="69"/>
      <c r="L178" s="70"/>
      <c r="M178" s="70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8"/>
      <c r="K179" s="69"/>
      <c r="L179" s="70"/>
      <c r="M179" s="70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8"/>
      <c r="K180" s="69"/>
      <c r="L180" s="70"/>
      <c r="M180" s="70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8"/>
      <c r="K181" s="69"/>
      <c r="L181" s="70"/>
      <c r="M181" s="70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8"/>
      <c r="K182" s="69"/>
      <c r="L182" s="70"/>
      <c r="M182" s="70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8"/>
      <c r="K183" s="69"/>
      <c r="L183" s="70"/>
      <c r="M183" s="70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8"/>
      <c r="K184" s="69"/>
      <c r="L184" s="70"/>
      <c r="M184" s="70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8"/>
      <c r="K185" s="69"/>
      <c r="L185" s="70"/>
      <c r="M185" s="70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8"/>
      <c r="K186" s="69"/>
      <c r="L186" s="70"/>
      <c r="M186" s="70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8"/>
      <c r="K187" s="69"/>
      <c r="L187" s="70"/>
      <c r="M187" s="70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8"/>
      <c r="K188" s="69"/>
      <c r="L188" s="70"/>
      <c r="M188" s="70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8"/>
      <c r="K189" s="69"/>
      <c r="L189" s="70"/>
      <c r="M189" s="70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8"/>
      <c r="K190" s="69"/>
      <c r="L190" s="70"/>
      <c r="M190" s="70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8"/>
      <c r="K191" s="69"/>
      <c r="L191" s="70"/>
      <c r="M191" s="70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8"/>
      <c r="K192" s="69"/>
      <c r="L192" s="70"/>
      <c r="M192" s="70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8"/>
      <c r="K193" s="69"/>
      <c r="L193" s="70"/>
      <c r="M193" s="70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8"/>
      <c r="K194" s="69"/>
      <c r="L194" s="70"/>
      <c r="M194" s="70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8"/>
      <c r="K195" s="69"/>
      <c r="L195" s="70"/>
      <c r="M195" s="70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8"/>
      <c r="K196" s="69"/>
      <c r="L196" s="70"/>
      <c r="M196" s="70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8"/>
      <c r="K197" s="69"/>
      <c r="L197" s="70"/>
      <c r="M197" s="70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8"/>
      <c r="K198" s="69"/>
      <c r="L198" s="70"/>
      <c r="M198" s="70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8"/>
      <c r="K199" s="69"/>
      <c r="L199" s="70"/>
      <c r="M199" s="70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8"/>
      <c r="K200" s="69"/>
      <c r="L200" s="70"/>
      <c r="M200" s="70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8"/>
      <c r="K201" s="69"/>
      <c r="L201" s="70"/>
      <c r="M201" s="70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8"/>
      <c r="K202" s="69"/>
      <c r="L202" s="70"/>
      <c r="M202" s="70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8"/>
      <c r="K203" s="69"/>
      <c r="L203" s="70"/>
      <c r="M203" s="70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8"/>
      <c r="K204" s="69"/>
      <c r="L204" s="70"/>
      <c r="M204" s="70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8"/>
      <c r="K205" s="69"/>
      <c r="L205" s="70"/>
      <c r="M205" s="70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8"/>
      <c r="K206" s="69"/>
      <c r="L206" s="70"/>
      <c r="M206" s="70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8"/>
      <c r="K207" s="69"/>
      <c r="L207" s="70"/>
      <c r="M207" s="70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8"/>
      <c r="K208" s="69"/>
      <c r="L208" s="70"/>
      <c r="M208" s="70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8"/>
      <c r="K209" s="69"/>
      <c r="L209" s="70"/>
      <c r="M209" s="70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8"/>
      <c r="K210" s="69"/>
      <c r="L210" s="70"/>
      <c r="M210" s="70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8"/>
      <c r="K211" s="69"/>
      <c r="L211" s="70"/>
      <c r="M211" s="70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8"/>
      <c r="K212" s="69"/>
      <c r="L212" s="70"/>
      <c r="M212" s="70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8"/>
      <c r="K213" s="69"/>
      <c r="L213" s="70"/>
      <c r="M213" s="70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8"/>
      <c r="K214" s="69"/>
      <c r="L214" s="70"/>
      <c r="M214" s="70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8"/>
      <c r="K215" s="69"/>
      <c r="L215" s="70"/>
      <c r="M215" s="70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8"/>
      <c r="K216" s="69"/>
      <c r="L216" s="70"/>
      <c r="M216" s="70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8"/>
      <c r="K217" s="69"/>
      <c r="L217" s="70"/>
      <c r="M217" s="70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8"/>
      <c r="K218" s="69"/>
      <c r="L218" s="70"/>
      <c r="M218" s="70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8"/>
      <c r="K219" s="69"/>
      <c r="L219" s="70"/>
      <c r="M219" s="70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8"/>
      <c r="K220" s="69"/>
      <c r="L220" s="70"/>
      <c r="M220" s="70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8"/>
      <c r="K221" s="69"/>
      <c r="L221" s="70"/>
      <c r="M221" s="70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8"/>
      <c r="K222" s="69"/>
      <c r="L222" s="70"/>
      <c r="M222" s="70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8"/>
      <c r="K223" s="69"/>
      <c r="L223" s="70"/>
      <c r="M223" s="70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8"/>
      <c r="K224" s="69"/>
      <c r="L224" s="70"/>
      <c r="M224" s="70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8"/>
      <c r="K225" s="69"/>
      <c r="L225" s="70"/>
      <c r="M225" s="70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8"/>
      <c r="K226" s="69"/>
      <c r="L226" s="70"/>
      <c r="M226" s="70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8"/>
      <c r="K227" s="69"/>
      <c r="L227" s="70"/>
      <c r="M227" s="70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8"/>
      <c r="K228" s="69"/>
      <c r="L228" s="70"/>
      <c r="M228" s="70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8"/>
      <c r="K229" s="69"/>
      <c r="L229" s="70"/>
      <c r="M229" s="70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8"/>
      <c r="K230" s="69"/>
      <c r="L230" s="70"/>
      <c r="M230" s="70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8"/>
      <c r="K231" s="69"/>
      <c r="L231" s="70"/>
      <c r="M231" s="70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8"/>
      <c r="K232" s="69"/>
      <c r="L232" s="70"/>
      <c r="M232" s="70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8"/>
      <c r="K233" s="69"/>
      <c r="L233" s="70"/>
      <c r="M233" s="70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8"/>
      <c r="K234" s="69"/>
      <c r="L234" s="70"/>
      <c r="M234" s="70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8"/>
      <c r="K235" s="69"/>
      <c r="L235" s="70"/>
      <c r="M235" s="70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8"/>
      <c r="K236" s="69"/>
      <c r="L236" s="70"/>
      <c r="M236" s="70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8"/>
      <c r="K237" s="69"/>
      <c r="L237" s="70"/>
      <c r="M237" s="70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8"/>
      <c r="K238" s="69"/>
      <c r="L238" s="70"/>
      <c r="M238" s="70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8"/>
      <c r="K239" s="69"/>
      <c r="L239" s="70"/>
      <c r="M239" s="70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8"/>
      <c r="K240" s="69"/>
      <c r="L240" s="70"/>
      <c r="M240" s="70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8"/>
      <c r="K241" s="69"/>
      <c r="L241" s="70"/>
      <c r="M241" s="70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8"/>
      <c r="K242" s="69"/>
      <c r="L242" s="70"/>
      <c r="M242" s="70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8"/>
      <c r="K243" s="69"/>
      <c r="L243" s="70"/>
      <c r="M243" s="70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8"/>
      <c r="K244" s="69"/>
      <c r="L244" s="70"/>
      <c r="M244" s="70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8"/>
      <c r="K245" s="69"/>
      <c r="L245" s="70"/>
      <c r="M245" s="70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8"/>
      <c r="K246" s="69"/>
      <c r="L246" s="70"/>
      <c r="M246" s="70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8"/>
      <c r="K247" s="69"/>
      <c r="L247" s="70"/>
      <c r="M247" s="70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8"/>
      <c r="K248" s="69"/>
      <c r="L248" s="70"/>
      <c r="M248" s="70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8"/>
      <c r="K249" s="69"/>
      <c r="L249" s="70"/>
      <c r="M249" s="70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8"/>
      <c r="K250" s="69"/>
      <c r="L250" s="70"/>
      <c r="M250" s="70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8"/>
      <c r="K251" s="69"/>
      <c r="L251" s="70"/>
      <c r="M251" s="70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8"/>
      <c r="K252" s="69"/>
      <c r="L252" s="70"/>
      <c r="M252" s="70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8"/>
      <c r="K253" s="69"/>
      <c r="L253" s="70"/>
      <c r="M253" s="70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8"/>
      <c r="K254" s="69"/>
      <c r="L254" s="70"/>
      <c r="M254" s="70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8"/>
      <c r="K255" s="69"/>
      <c r="L255" s="70"/>
      <c r="M255" s="70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8"/>
      <c r="K256" s="69"/>
      <c r="L256" s="70"/>
      <c r="M256" s="70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8"/>
      <c r="K257" s="69"/>
      <c r="L257" s="70"/>
      <c r="M257" s="70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8"/>
      <c r="K258" s="69"/>
      <c r="L258" s="70"/>
      <c r="M258" s="70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8"/>
      <c r="K259" s="69"/>
      <c r="L259" s="70"/>
      <c r="M259" s="70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8"/>
      <c r="K260" s="69"/>
      <c r="L260" s="70"/>
      <c r="M260" s="70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8"/>
      <c r="K261" s="69"/>
      <c r="L261" s="70"/>
      <c r="M261" s="70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8"/>
      <c r="K262" s="69"/>
      <c r="L262" s="70"/>
      <c r="M262" s="70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8"/>
      <c r="K263" s="69"/>
      <c r="L263" s="70"/>
      <c r="M263" s="70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8"/>
      <c r="K264" s="69"/>
      <c r="L264" s="70"/>
      <c r="M264" s="70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8"/>
      <c r="K265" s="69"/>
      <c r="L265" s="70"/>
      <c r="M265" s="70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8"/>
      <c r="K266" s="69"/>
      <c r="L266" s="70"/>
      <c r="M266" s="70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8"/>
      <c r="K267" s="69"/>
      <c r="L267" s="70"/>
      <c r="M267" s="70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8"/>
      <c r="K268" s="69"/>
      <c r="L268" s="70"/>
      <c r="M268" s="70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8"/>
      <c r="K269" s="69"/>
      <c r="L269" s="70"/>
      <c r="M269" s="70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8"/>
      <c r="K270" s="69"/>
      <c r="L270" s="70"/>
      <c r="M270" s="70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8"/>
      <c r="K271" s="69"/>
      <c r="L271" s="70"/>
      <c r="M271" s="70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8"/>
      <c r="K272" s="69"/>
      <c r="L272" s="70"/>
      <c r="M272" s="70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8"/>
      <c r="K273" s="69"/>
      <c r="L273" s="70"/>
      <c r="M273" s="70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8"/>
      <c r="K274" s="69"/>
      <c r="L274" s="70"/>
      <c r="M274" s="70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8"/>
      <c r="K275" s="69"/>
      <c r="L275" s="70"/>
      <c r="M275" s="70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8"/>
      <c r="K276" s="69"/>
      <c r="L276" s="70"/>
      <c r="M276" s="70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8"/>
      <c r="K277" s="69"/>
      <c r="L277" s="70"/>
      <c r="M277" s="70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8"/>
      <c r="K278" s="69"/>
      <c r="L278" s="70"/>
      <c r="M278" s="70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8"/>
      <c r="K279" s="69"/>
      <c r="L279" s="70"/>
      <c r="M279" s="70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8"/>
      <c r="K280" s="69"/>
      <c r="L280" s="70"/>
      <c r="M280" s="70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8"/>
      <c r="K281" s="69"/>
      <c r="L281" s="70"/>
      <c r="M281" s="70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8"/>
      <c r="K282" s="69"/>
      <c r="L282" s="70"/>
      <c r="M282" s="70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8"/>
      <c r="K283" s="69"/>
      <c r="L283" s="70"/>
      <c r="M283" s="70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8"/>
      <c r="K284" s="69"/>
      <c r="L284" s="70"/>
      <c r="M284" s="70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8"/>
      <c r="K285" s="69"/>
      <c r="L285" s="70"/>
      <c r="M285" s="70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8"/>
      <c r="K286" s="69"/>
      <c r="L286" s="70"/>
      <c r="M286" s="70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8"/>
      <c r="K287" s="69"/>
      <c r="L287" s="70"/>
      <c r="M287" s="70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8"/>
      <c r="K288" s="69"/>
      <c r="L288" s="70"/>
      <c r="M288" s="70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spans="1:26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8"/>
      <c r="K289" s="69"/>
      <c r="L289" s="70"/>
      <c r="M289" s="70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spans="1:26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8"/>
      <c r="K290" s="69"/>
      <c r="L290" s="70"/>
      <c r="M290" s="70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spans="1:26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8"/>
      <c r="K291" s="69"/>
      <c r="L291" s="70"/>
      <c r="M291" s="70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spans="1:26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8"/>
      <c r="K292" s="69"/>
      <c r="L292" s="70"/>
      <c r="M292" s="70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spans="1:26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8"/>
      <c r="K293" s="69"/>
      <c r="L293" s="70"/>
      <c r="M293" s="70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8"/>
      <c r="K294" s="69"/>
      <c r="L294" s="70"/>
      <c r="M294" s="70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8"/>
      <c r="K295" s="69"/>
      <c r="L295" s="70"/>
      <c r="M295" s="70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8"/>
      <c r="K296" s="69"/>
      <c r="L296" s="70"/>
      <c r="M296" s="70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8"/>
      <c r="K297" s="69"/>
      <c r="L297" s="70"/>
      <c r="M297" s="70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8"/>
      <c r="K298" s="69"/>
      <c r="L298" s="70"/>
      <c r="M298" s="70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8"/>
      <c r="K299" s="69"/>
      <c r="L299" s="70"/>
      <c r="M299" s="70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8"/>
      <c r="K300" s="69"/>
      <c r="L300" s="70"/>
      <c r="M300" s="70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8"/>
      <c r="K301" s="69"/>
      <c r="L301" s="70"/>
      <c r="M301" s="70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8"/>
      <c r="K302" s="69"/>
      <c r="L302" s="70"/>
      <c r="M302" s="70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8"/>
      <c r="K303" s="69"/>
      <c r="L303" s="70"/>
      <c r="M303" s="70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spans="1:26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8"/>
      <c r="K304" s="69"/>
      <c r="L304" s="70"/>
      <c r="M304" s="70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spans="1:26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8"/>
      <c r="K305" s="69"/>
      <c r="L305" s="70"/>
      <c r="M305" s="70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8"/>
      <c r="K306" s="69"/>
      <c r="L306" s="70"/>
      <c r="M306" s="70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8"/>
      <c r="K307" s="69"/>
      <c r="L307" s="70"/>
      <c r="M307" s="70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8"/>
      <c r="K308" s="69"/>
      <c r="L308" s="70"/>
      <c r="M308" s="70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8"/>
      <c r="K309" s="69"/>
      <c r="L309" s="70"/>
      <c r="M309" s="70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8"/>
      <c r="K310" s="69"/>
      <c r="L310" s="70"/>
      <c r="M310" s="70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8"/>
      <c r="K311" s="69"/>
      <c r="L311" s="70"/>
      <c r="M311" s="70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8"/>
      <c r="K312" s="69"/>
      <c r="L312" s="70"/>
      <c r="M312" s="70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8"/>
      <c r="K313" s="69"/>
      <c r="L313" s="70"/>
      <c r="M313" s="70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8"/>
      <c r="K314" s="69"/>
      <c r="L314" s="70"/>
      <c r="M314" s="70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8"/>
      <c r="K315" s="69"/>
      <c r="L315" s="70"/>
      <c r="M315" s="70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spans="1:2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8"/>
      <c r="K316" s="69"/>
      <c r="L316" s="70"/>
      <c r="M316" s="70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spans="1:26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8"/>
      <c r="K317" s="69"/>
      <c r="L317" s="70"/>
      <c r="M317" s="70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spans="1:26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8"/>
      <c r="K318" s="69"/>
      <c r="L318" s="70"/>
      <c r="M318" s="70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spans="1:26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8"/>
      <c r="K319" s="69"/>
      <c r="L319" s="70"/>
      <c r="M319" s="70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spans="1:26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8"/>
      <c r="K320" s="69"/>
      <c r="L320" s="70"/>
      <c r="M320" s="70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spans="1:26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8"/>
      <c r="K321" s="69"/>
      <c r="L321" s="70"/>
      <c r="M321" s="70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spans="1:26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8"/>
      <c r="K322" s="69"/>
      <c r="L322" s="70"/>
      <c r="M322" s="70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8"/>
      <c r="K323" s="69"/>
      <c r="L323" s="70"/>
      <c r="M323" s="70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8"/>
      <c r="K324" s="69"/>
      <c r="L324" s="70"/>
      <c r="M324" s="70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8"/>
      <c r="K325" s="69"/>
      <c r="L325" s="70"/>
      <c r="M325" s="70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8"/>
      <c r="K326" s="69"/>
      <c r="L326" s="70"/>
      <c r="M326" s="70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8"/>
      <c r="K327" s="69"/>
      <c r="L327" s="70"/>
      <c r="M327" s="70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8"/>
      <c r="K328" s="69"/>
      <c r="L328" s="70"/>
      <c r="M328" s="70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8"/>
      <c r="K329" s="69"/>
      <c r="L329" s="70"/>
      <c r="M329" s="70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8"/>
      <c r="K330" s="69"/>
      <c r="L330" s="70"/>
      <c r="M330" s="70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8"/>
      <c r="K331" s="69"/>
      <c r="L331" s="70"/>
      <c r="M331" s="70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8"/>
      <c r="K332" s="69"/>
      <c r="L332" s="70"/>
      <c r="M332" s="70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8"/>
      <c r="K333" s="69"/>
      <c r="L333" s="70"/>
      <c r="M333" s="70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8"/>
      <c r="K334" s="69"/>
      <c r="L334" s="70"/>
      <c r="M334" s="70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8"/>
      <c r="K335" s="69"/>
      <c r="L335" s="70"/>
      <c r="M335" s="70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8"/>
      <c r="K336" s="69"/>
      <c r="L336" s="70"/>
      <c r="M336" s="70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8"/>
      <c r="K337" s="69"/>
      <c r="L337" s="70"/>
      <c r="M337" s="70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8"/>
      <c r="K338" s="69"/>
      <c r="L338" s="70"/>
      <c r="M338" s="70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8"/>
      <c r="K339" s="69"/>
      <c r="L339" s="70"/>
      <c r="M339" s="70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8"/>
      <c r="K340" s="69"/>
      <c r="L340" s="70"/>
      <c r="M340" s="70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8"/>
      <c r="K341" s="69"/>
      <c r="L341" s="70"/>
      <c r="M341" s="70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8"/>
      <c r="K342" s="69"/>
      <c r="L342" s="70"/>
      <c r="M342" s="70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8"/>
      <c r="K343" s="69"/>
      <c r="L343" s="70"/>
      <c r="M343" s="70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8"/>
      <c r="K344" s="69"/>
      <c r="L344" s="70"/>
      <c r="M344" s="70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8"/>
      <c r="K345" s="69"/>
      <c r="L345" s="70"/>
      <c r="M345" s="70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spans="1:2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8"/>
      <c r="K346" s="69"/>
      <c r="L346" s="70"/>
      <c r="M346" s="70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spans="1:26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8"/>
      <c r="K347" s="69"/>
      <c r="L347" s="70"/>
      <c r="M347" s="70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spans="1:26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8"/>
      <c r="K348" s="69"/>
      <c r="L348" s="70"/>
      <c r="M348" s="70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spans="1:26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8"/>
      <c r="K349" s="69"/>
      <c r="L349" s="70"/>
      <c r="M349" s="70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spans="1:26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8"/>
      <c r="K350" s="69"/>
      <c r="L350" s="70"/>
      <c r="M350" s="70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spans="1:26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8"/>
      <c r="K351" s="69"/>
      <c r="L351" s="70"/>
      <c r="M351" s="70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8"/>
      <c r="K352" s="69"/>
      <c r="L352" s="70"/>
      <c r="M352" s="70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spans="1:26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8"/>
      <c r="K353" s="69"/>
      <c r="L353" s="70"/>
      <c r="M353" s="70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spans="1:26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8"/>
      <c r="K354" s="69"/>
      <c r="L354" s="70"/>
      <c r="M354" s="70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spans="1:26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8"/>
      <c r="K355" s="69"/>
      <c r="L355" s="70"/>
      <c r="M355" s="70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spans="1:2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8"/>
      <c r="K356" s="69"/>
      <c r="L356" s="70"/>
      <c r="M356" s="70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spans="1:26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8"/>
      <c r="K357" s="69"/>
      <c r="L357" s="70"/>
      <c r="M357" s="70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spans="1:26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8"/>
      <c r="K358" s="69"/>
      <c r="L358" s="70"/>
      <c r="M358" s="70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spans="1:26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8"/>
      <c r="K359" s="69"/>
      <c r="L359" s="70"/>
      <c r="M359" s="70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spans="1:26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8"/>
      <c r="K360" s="69"/>
      <c r="L360" s="70"/>
      <c r="M360" s="70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spans="1:26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8"/>
      <c r="K361" s="69"/>
      <c r="L361" s="70"/>
      <c r="M361" s="70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spans="1:26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8"/>
      <c r="K362" s="69"/>
      <c r="L362" s="70"/>
      <c r="M362" s="70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spans="1:26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8"/>
      <c r="K363" s="69"/>
      <c r="L363" s="70"/>
      <c r="M363" s="70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spans="1:26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8"/>
      <c r="K364" s="69"/>
      <c r="L364" s="70"/>
      <c r="M364" s="70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spans="1:26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8"/>
      <c r="K365" s="69"/>
      <c r="L365" s="70"/>
      <c r="M365" s="70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spans="1:2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8"/>
      <c r="K366" s="69"/>
      <c r="L366" s="70"/>
      <c r="M366" s="70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spans="1:26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8"/>
      <c r="K367" s="69"/>
      <c r="L367" s="70"/>
      <c r="M367" s="70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spans="1:26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8"/>
      <c r="K368" s="69"/>
      <c r="L368" s="70"/>
      <c r="M368" s="70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spans="1:26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8"/>
      <c r="K369" s="69"/>
      <c r="L369" s="70"/>
      <c r="M369" s="70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spans="1:26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8"/>
      <c r="K370" s="69"/>
      <c r="L370" s="70"/>
      <c r="M370" s="70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spans="1:26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8"/>
      <c r="K371" s="69"/>
      <c r="L371" s="70"/>
      <c r="M371" s="70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spans="1:26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8"/>
      <c r="K372" s="69"/>
      <c r="L372" s="70"/>
      <c r="M372" s="70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spans="1:26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8"/>
      <c r="K373" s="69"/>
      <c r="L373" s="70"/>
      <c r="M373" s="70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spans="1:26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8"/>
      <c r="K374" s="69"/>
      <c r="L374" s="70"/>
      <c r="M374" s="70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spans="1:26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8"/>
      <c r="K375" s="69"/>
      <c r="L375" s="70"/>
      <c r="M375" s="70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spans="1:2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8"/>
      <c r="K376" s="69"/>
      <c r="L376" s="70"/>
      <c r="M376" s="70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8"/>
      <c r="K377" s="69"/>
      <c r="L377" s="70"/>
      <c r="M377" s="70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spans="1:26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8"/>
      <c r="K378" s="69"/>
      <c r="L378" s="70"/>
      <c r="M378" s="70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spans="1:26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8"/>
      <c r="K379" s="69"/>
      <c r="L379" s="70"/>
      <c r="M379" s="70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spans="1:26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8"/>
      <c r="K380" s="69"/>
      <c r="L380" s="70"/>
      <c r="M380" s="70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spans="1:26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8"/>
      <c r="K381" s="69"/>
      <c r="L381" s="70"/>
      <c r="M381" s="70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spans="1:26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8"/>
      <c r="K382" s="69"/>
      <c r="L382" s="70"/>
      <c r="M382" s="70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spans="1:26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8"/>
      <c r="K383" s="69"/>
      <c r="L383" s="70"/>
      <c r="M383" s="70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spans="1:26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8"/>
      <c r="K384" s="69"/>
      <c r="L384" s="70"/>
      <c r="M384" s="70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spans="1:26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8"/>
      <c r="K385" s="69"/>
      <c r="L385" s="70"/>
      <c r="M385" s="70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spans="1:2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8"/>
      <c r="K386" s="69"/>
      <c r="L386" s="70"/>
      <c r="M386" s="70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spans="1:26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8"/>
      <c r="K387" s="69"/>
      <c r="L387" s="70"/>
      <c r="M387" s="70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spans="1:26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8"/>
      <c r="K388" s="69"/>
      <c r="L388" s="70"/>
      <c r="M388" s="70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spans="1:26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8"/>
      <c r="K389" s="69"/>
      <c r="L389" s="70"/>
      <c r="M389" s="70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spans="1:26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8"/>
      <c r="K390" s="69"/>
      <c r="L390" s="70"/>
      <c r="M390" s="70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spans="1:26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8"/>
      <c r="K391" s="69"/>
      <c r="L391" s="70"/>
      <c r="M391" s="70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spans="1:26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8"/>
      <c r="K392" s="69"/>
      <c r="L392" s="70"/>
      <c r="M392" s="70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spans="1:26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8"/>
      <c r="K393" s="69"/>
      <c r="L393" s="70"/>
      <c r="M393" s="70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spans="1:26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8"/>
      <c r="K394" s="69"/>
      <c r="L394" s="70"/>
      <c r="M394" s="70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spans="1:26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8"/>
      <c r="K395" s="69"/>
      <c r="L395" s="70"/>
      <c r="M395" s="70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spans="1:2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8"/>
      <c r="K396" s="69"/>
      <c r="L396" s="70"/>
      <c r="M396" s="70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spans="1:26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8"/>
      <c r="K397" s="69"/>
      <c r="L397" s="70"/>
      <c r="M397" s="70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spans="1:26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8"/>
      <c r="K398" s="69"/>
      <c r="L398" s="70"/>
      <c r="M398" s="70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spans="1:26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8"/>
      <c r="K399" s="69"/>
      <c r="L399" s="70"/>
      <c r="M399" s="70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spans="1:26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8"/>
      <c r="K400" s="69"/>
      <c r="L400" s="70"/>
      <c r="M400" s="70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spans="1:26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8"/>
      <c r="K401" s="69"/>
      <c r="L401" s="70"/>
      <c r="M401" s="70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8"/>
      <c r="K402" s="69"/>
      <c r="L402" s="70"/>
      <c r="M402" s="70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spans="1:26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8"/>
      <c r="K403" s="69"/>
      <c r="L403" s="70"/>
      <c r="M403" s="70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8"/>
      <c r="K404" s="69"/>
      <c r="L404" s="70"/>
      <c r="M404" s="70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spans="1:26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8"/>
      <c r="K405" s="69"/>
      <c r="L405" s="70"/>
      <c r="M405" s="70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spans="1:2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8"/>
      <c r="K406" s="69"/>
      <c r="L406" s="70"/>
      <c r="M406" s="70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spans="1:26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8"/>
      <c r="K407" s="69"/>
      <c r="L407" s="70"/>
      <c r="M407" s="70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8"/>
      <c r="K408" s="69"/>
      <c r="L408" s="70"/>
      <c r="M408" s="70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8"/>
      <c r="K409" s="69"/>
      <c r="L409" s="70"/>
      <c r="M409" s="70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spans="1:26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8"/>
      <c r="K410" s="69"/>
      <c r="L410" s="70"/>
      <c r="M410" s="70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8"/>
      <c r="K411" s="69"/>
      <c r="L411" s="70"/>
      <c r="M411" s="70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spans="1:26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8"/>
      <c r="K412" s="69"/>
      <c r="L412" s="70"/>
      <c r="M412" s="70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spans="1:26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8"/>
      <c r="K413" s="69"/>
      <c r="L413" s="70"/>
      <c r="M413" s="70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spans="1:26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8"/>
      <c r="K414" s="69"/>
      <c r="L414" s="70"/>
      <c r="M414" s="70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spans="1:26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8"/>
      <c r="K415" s="69"/>
      <c r="L415" s="70"/>
      <c r="M415" s="70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spans="1:2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8"/>
      <c r="K416" s="69"/>
      <c r="L416" s="70"/>
      <c r="M416" s="70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spans="1:26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8"/>
      <c r="K417" s="69"/>
      <c r="L417" s="70"/>
      <c r="M417" s="70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spans="1:26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8"/>
      <c r="K418" s="69"/>
      <c r="L418" s="70"/>
      <c r="M418" s="70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spans="1:26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8"/>
      <c r="K419" s="69"/>
      <c r="L419" s="70"/>
      <c r="M419" s="70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spans="1:26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8"/>
      <c r="K420" s="69"/>
      <c r="L420" s="70"/>
      <c r="M420" s="70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spans="1:26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8"/>
      <c r="K421" s="69"/>
      <c r="L421" s="70"/>
      <c r="M421" s="70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spans="1:26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8"/>
      <c r="K422" s="69"/>
      <c r="L422" s="70"/>
      <c r="M422" s="70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spans="1:26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8"/>
      <c r="K423" s="69"/>
      <c r="L423" s="70"/>
      <c r="M423" s="70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spans="1:26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8"/>
      <c r="K424" s="69"/>
      <c r="L424" s="70"/>
      <c r="M424" s="70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spans="1:26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8"/>
      <c r="K425" s="69"/>
      <c r="L425" s="70"/>
      <c r="M425" s="70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spans="1: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8"/>
      <c r="K426" s="69"/>
      <c r="L426" s="70"/>
      <c r="M426" s="70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8"/>
      <c r="K427" s="69"/>
      <c r="L427" s="70"/>
      <c r="M427" s="70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spans="1:26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8"/>
      <c r="K428" s="69"/>
      <c r="L428" s="70"/>
      <c r="M428" s="70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8"/>
      <c r="K429" s="69"/>
      <c r="L429" s="70"/>
      <c r="M429" s="70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spans="1:26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8"/>
      <c r="K430" s="69"/>
      <c r="L430" s="70"/>
      <c r="M430" s="70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spans="1:26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8"/>
      <c r="K431" s="69"/>
      <c r="L431" s="70"/>
      <c r="M431" s="70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spans="1:26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8"/>
      <c r="K432" s="69"/>
      <c r="L432" s="70"/>
      <c r="M432" s="70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spans="1:26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8"/>
      <c r="K433" s="69"/>
      <c r="L433" s="70"/>
      <c r="M433" s="70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spans="1:26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8"/>
      <c r="K434" s="69"/>
      <c r="L434" s="70"/>
      <c r="M434" s="70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spans="1:26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8"/>
      <c r="K435" s="69"/>
      <c r="L435" s="70"/>
      <c r="M435" s="70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spans="1:2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8"/>
      <c r="K436" s="69"/>
      <c r="L436" s="70"/>
      <c r="M436" s="70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spans="1:26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8"/>
      <c r="K437" s="69"/>
      <c r="L437" s="70"/>
      <c r="M437" s="70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spans="1:26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8"/>
      <c r="K438" s="69"/>
      <c r="L438" s="70"/>
      <c r="M438" s="70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spans="1:26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8"/>
      <c r="K439" s="69"/>
      <c r="L439" s="70"/>
      <c r="M439" s="70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spans="1:26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8"/>
      <c r="K440" s="69"/>
      <c r="L440" s="70"/>
      <c r="M440" s="70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spans="1:26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8"/>
      <c r="K441" s="69"/>
      <c r="L441" s="70"/>
      <c r="M441" s="70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spans="1:26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8"/>
      <c r="K442" s="69"/>
      <c r="L442" s="70"/>
      <c r="M442" s="70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spans="1:26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8"/>
      <c r="K443" s="69"/>
      <c r="L443" s="70"/>
      <c r="M443" s="70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spans="1:26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8"/>
      <c r="K444" s="69"/>
      <c r="L444" s="70"/>
      <c r="M444" s="70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spans="1:26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8"/>
      <c r="K445" s="69"/>
      <c r="L445" s="70"/>
      <c r="M445" s="70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spans="1:2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8"/>
      <c r="K446" s="69"/>
      <c r="L446" s="70"/>
      <c r="M446" s="70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spans="1:26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8"/>
      <c r="K447" s="69"/>
      <c r="L447" s="70"/>
      <c r="M447" s="70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spans="1:26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8"/>
      <c r="K448" s="69"/>
      <c r="L448" s="70"/>
      <c r="M448" s="70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spans="1:26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8"/>
      <c r="K449" s="69"/>
      <c r="L449" s="70"/>
      <c r="M449" s="70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spans="1:26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8"/>
      <c r="K450" s="69"/>
      <c r="L450" s="70"/>
      <c r="M450" s="70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spans="1:26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8"/>
      <c r="K451" s="69"/>
      <c r="L451" s="70"/>
      <c r="M451" s="70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8"/>
      <c r="K452" s="69"/>
      <c r="L452" s="70"/>
      <c r="M452" s="70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spans="1:26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8"/>
      <c r="K453" s="69"/>
      <c r="L453" s="70"/>
      <c r="M453" s="70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spans="1:26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8"/>
      <c r="K454" s="69"/>
      <c r="L454" s="70"/>
      <c r="M454" s="70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8"/>
      <c r="K455" s="69"/>
      <c r="L455" s="70"/>
      <c r="M455" s="70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spans="1:2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8"/>
      <c r="K456" s="69"/>
      <c r="L456" s="70"/>
      <c r="M456" s="70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spans="1:26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8"/>
      <c r="K457" s="69"/>
      <c r="L457" s="70"/>
      <c r="M457" s="70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spans="1:26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8"/>
      <c r="K458" s="69"/>
      <c r="L458" s="70"/>
      <c r="M458" s="70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spans="1:26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8"/>
      <c r="K459" s="69"/>
      <c r="L459" s="70"/>
      <c r="M459" s="70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spans="1:26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8"/>
      <c r="K460" s="69"/>
      <c r="L460" s="70"/>
      <c r="M460" s="70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spans="1:26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8"/>
      <c r="K461" s="69"/>
      <c r="L461" s="70"/>
      <c r="M461" s="70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spans="1:26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8"/>
      <c r="K462" s="69"/>
      <c r="L462" s="70"/>
      <c r="M462" s="70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spans="1:26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8"/>
      <c r="K463" s="69"/>
      <c r="L463" s="70"/>
      <c r="M463" s="70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spans="1:26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8"/>
      <c r="K464" s="69"/>
      <c r="L464" s="70"/>
      <c r="M464" s="70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spans="1:26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8"/>
      <c r="K465" s="69"/>
      <c r="L465" s="70"/>
      <c r="M465" s="70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spans="1:2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8"/>
      <c r="K466" s="69"/>
      <c r="L466" s="70"/>
      <c r="M466" s="70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spans="1:26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8"/>
      <c r="K467" s="69"/>
      <c r="L467" s="70"/>
      <c r="M467" s="70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spans="1:26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8"/>
      <c r="K468" s="69"/>
      <c r="L468" s="70"/>
      <c r="M468" s="70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spans="1:26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8"/>
      <c r="K469" s="69"/>
      <c r="L469" s="70"/>
      <c r="M469" s="70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spans="1:26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8"/>
      <c r="K470" s="69"/>
      <c r="L470" s="70"/>
      <c r="M470" s="70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spans="1:26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8"/>
      <c r="K471" s="69"/>
      <c r="L471" s="70"/>
      <c r="M471" s="70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spans="1:26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8"/>
      <c r="K472" s="69"/>
      <c r="L472" s="70"/>
      <c r="M472" s="70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spans="1:26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8"/>
      <c r="K473" s="69"/>
      <c r="L473" s="70"/>
      <c r="M473" s="70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spans="1:26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8"/>
      <c r="K474" s="69"/>
      <c r="L474" s="70"/>
      <c r="M474" s="70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spans="1:26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8"/>
      <c r="K475" s="69"/>
      <c r="L475" s="70"/>
      <c r="M475" s="70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spans="1:2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8"/>
      <c r="K476" s="69"/>
      <c r="L476" s="70"/>
      <c r="M476" s="70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spans="1:26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8"/>
      <c r="K477" s="69"/>
      <c r="L477" s="70"/>
      <c r="M477" s="70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8"/>
      <c r="K478" s="69"/>
      <c r="L478" s="70"/>
      <c r="M478" s="70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spans="1:26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8"/>
      <c r="K479" s="69"/>
      <c r="L479" s="70"/>
      <c r="M479" s="70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8"/>
      <c r="K480" s="69"/>
      <c r="L480" s="70"/>
      <c r="M480" s="70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spans="1:26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8"/>
      <c r="K481" s="69"/>
      <c r="L481" s="70"/>
      <c r="M481" s="70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spans="1:26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8"/>
      <c r="K482" s="69"/>
      <c r="L482" s="70"/>
      <c r="M482" s="70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spans="1:26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8"/>
      <c r="K483" s="69"/>
      <c r="L483" s="70"/>
      <c r="M483" s="70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spans="1:26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8"/>
      <c r="K484" s="69"/>
      <c r="L484" s="70"/>
      <c r="M484" s="70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spans="1:26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8"/>
      <c r="K485" s="69"/>
      <c r="L485" s="70"/>
      <c r="M485" s="70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spans="1:2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8"/>
      <c r="K486" s="69"/>
      <c r="L486" s="70"/>
      <c r="M486" s="70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spans="1:26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8"/>
      <c r="K487" s="69"/>
      <c r="L487" s="70"/>
      <c r="M487" s="70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spans="1:26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8"/>
      <c r="K488" s="69"/>
      <c r="L488" s="70"/>
      <c r="M488" s="70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spans="1:26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8"/>
      <c r="K489" s="69"/>
      <c r="L489" s="70"/>
      <c r="M489" s="70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spans="1:26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8"/>
      <c r="K490" s="69"/>
      <c r="L490" s="70"/>
      <c r="M490" s="70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spans="1:26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8"/>
      <c r="K491" s="69"/>
      <c r="L491" s="70"/>
      <c r="M491" s="70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spans="1:26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8"/>
      <c r="K492" s="69"/>
      <c r="L492" s="70"/>
      <c r="M492" s="70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spans="1:26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8"/>
      <c r="K493" s="69"/>
      <c r="L493" s="70"/>
      <c r="M493" s="70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spans="1:26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8"/>
      <c r="K494" s="69"/>
      <c r="L494" s="70"/>
      <c r="M494" s="70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spans="1:26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8"/>
      <c r="K495" s="69"/>
      <c r="L495" s="70"/>
      <c r="M495" s="70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spans="1:2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8"/>
      <c r="K496" s="69"/>
      <c r="L496" s="70"/>
      <c r="M496" s="70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spans="1:26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8"/>
      <c r="K497" s="69"/>
      <c r="L497" s="70"/>
      <c r="M497" s="70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spans="1:26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8"/>
      <c r="K498" s="69"/>
      <c r="L498" s="70"/>
      <c r="M498" s="70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spans="1:26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8"/>
      <c r="K499" s="69"/>
      <c r="L499" s="70"/>
      <c r="M499" s="70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spans="1:26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8"/>
      <c r="K500" s="69"/>
      <c r="L500" s="70"/>
      <c r="M500" s="70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spans="1:26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8"/>
      <c r="K501" s="69"/>
      <c r="L501" s="70"/>
      <c r="M501" s="70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spans="1:26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8"/>
      <c r="K502" s="69"/>
      <c r="L502" s="70"/>
      <c r="M502" s="70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8"/>
      <c r="K503" s="69"/>
      <c r="L503" s="70"/>
      <c r="M503" s="70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8"/>
      <c r="K504" s="69"/>
      <c r="L504" s="70"/>
      <c r="M504" s="70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8"/>
      <c r="K505" s="69"/>
      <c r="L505" s="70"/>
      <c r="M505" s="70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8"/>
      <c r="K506" s="69"/>
      <c r="L506" s="70"/>
      <c r="M506" s="70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spans="1:26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8"/>
      <c r="K507" s="69"/>
      <c r="L507" s="70"/>
      <c r="M507" s="70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spans="1:26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8"/>
      <c r="K508" s="69"/>
      <c r="L508" s="70"/>
      <c r="M508" s="70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spans="1:26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8"/>
      <c r="K509" s="69"/>
      <c r="L509" s="70"/>
      <c r="M509" s="70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spans="1:26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8"/>
      <c r="K510" s="69"/>
      <c r="L510" s="70"/>
      <c r="M510" s="70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spans="1:26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8"/>
      <c r="K511" s="69"/>
      <c r="L511" s="70"/>
      <c r="M511" s="70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spans="1:26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8"/>
      <c r="K512" s="69"/>
      <c r="L512" s="70"/>
      <c r="M512" s="70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spans="1:26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8"/>
      <c r="K513" s="69"/>
      <c r="L513" s="70"/>
      <c r="M513" s="70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spans="1:26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8"/>
      <c r="K514" s="69"/>
      <c r="L514" s="70"/>
      <c r="M514" s="70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spans="1:26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8"/>
      <c r="K515" s="69"/>
      <c r="L515" s="70"/>
      <c r="M515" s="70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spans="1:2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8"/>
      <c r="K516" s="69"/>
      <c r="L516" s="70"/>
      <c r="M516" s="70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spans="1:26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8"/>
      <c r="K517" s="69"/>
      <c r="L517" s="70"/>
      <c r="M517" s="70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spans="1:26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8"/>
      <c r="K518" s="69"/>
      <c r="L518" s="70"/>
      <c r="M518" s="70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spans="1:26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8"/>
      <c r="K519" s="69"/>
      <c r="L519" s="70"/>
      <c r="M519" s="70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spans="1:26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8"/>
      <c r="K520" s="69"/>
      <c r="L520" s="70"/>
      <c r="M520" s="70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spans="1:26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8"/>
      <c r="K521" s="69"/>
      <c r="L521" s="70"/>
      <c r="M521" s="70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spans="1:26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8"/>
      <c r="K522" s="69"/>
      <c r="L522" s="70"/>
      <c r="M522" s="70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spans="1:26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8"/>
      <c r="K523" s="69"/>
      <c r="L523" s="70"/>
      <c r="M523" s="70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spans="1:26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8"/>
      <c r="K524" s="69"/>
      <c r="L524" s="70"/>
      <c r="M524" s="70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spans="1:26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8"/>
      <c r="K525" s="69"/>
      <c r="L525" s="70"/>
      <c r="M525" s="70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spans="1: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8"/>
      <c r="K526" s="69"/>
      <c r="L526" s="70"/>
      <c r="M526" s="70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spans="1:26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8"/>
      <c r="K527" s="69"/>
      <c r="L527" s="70"/>
      <c r="M527" s="70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8"/>
      <c r="K528" s="69"/>
      <c r="L528" s="70"/>
      <c r="M528" s="70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spans="1:26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8"/>
      <c r="K529" s="69"/>
      <c r="L529" s="70"/>
      <c r="M529" s="70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8"/>
      <c r="K530" s="69"/>
      <c r="L530" s="70"/>
      <c r="M530" s="70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spans="1:26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8"/>
      <c r="K531" s="69"/>
      <c r="L531" s="70"/>
      <c r="M531" s="70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spans="1:26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8"/>
      <c r="K532" s="69"/>
      <c r="L532" s="70"/>
      <c r="M532" s="70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spans="1:26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8"/>
      <c r="K533" s="69"/>
      <c r="L533" s="70"/>
      <c r="M533" s="70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spans="1:26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8"/>
      <c r="K534" s="69"/>
      <c r="L534" s="70"/>
      <c r="M534" s="70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spans="1:26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8"/>
      <c r="K535" s="69"/>
      <c r="L535" s="70"/>
      <c r="M535" s="70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spans="1:2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8"/>
      <c r="K536" s="69"/>
      <c r="L536" s="70"/>
      <c r="M536" s="70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spans="1:26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8"/>
      <c r="K537" s="69"/>
      <c r="L537" s="70"/>
      <c r="M537" s="70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spans="1:26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8"/>
      <c r="K538" s="69"/>
      <c r="L538" s="70"/>
      <c r="M538" s="70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spans="1:26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8"/>
      <c r="K539" s="69"/>
      <c r="L539" s="70"/>
      <c r="M539" s="70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spans="1:26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8"/>
      <c r="K540" s="69"/>
      <c r="L540" s="70"/>
      <c r="M540" s="70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spans="1:26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8"/>
      <c r="K541" s="69"/>
      <c r="L541" s="70"/>
      <c r="M541" s="70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spans="1:26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8"/>
      <c r="K542" s="69"/>
      <c r="L542" s="70"/>
      <c r="M542" s="70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spans="1:26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8"/>
      <c r="K543" s="69"/>
      <c r="L543" s="70"/>
      <c r="M543" s="70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spans="1:26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8"/>
      <c r="K544" s="69"/>
      <c r="L544" s="70"/>
      <c r="M544" s="70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spans="1:26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8"/>
      <c r="K545" s="69"/>
      <c r="L545" s="70"/>
      <c r="M545" s="70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spans="1:2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8"/>
      <c r="K546" s="69"/>
      <c r="L546" s="70"/>
      <c r="M546" s="70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spans="1:26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8"/>
      <c r="K547" s="69"/>
      <c r="L547" s="70"/>
      <c r="M547" s="70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spans="1:26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8"/>
      <c r="K548" s="69"/>
      <c r="L548" s="70"/>
      <c r="M548" s="70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spans="1:26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8"/>
      <c r="K549" s="69"/>
      <c r="L549" s="70"/>
      <c r="M549" s="70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spans="1:26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8"/>
      <c r="K550" s="69"/>
      <c r="L550" s="70"/>
      <c r="M550" s="70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spans="1:26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8"/>
      <c r="K551" s="69"/>
      <c r="L551" s="70"/>
      <c r="M551" s="70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spans="1:26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8"/>
      <c r="K552" s="69"/>
      <c r="L552" s="70"/>
      <c r="M552" s="70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spans="1:26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8"/>
      <c r="K553" s="69"/>
      <c r="L553" s="70"/>
      <c r="M553" s="70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8"/>
      <c r="K554" s="69"/>
      <c r="L554" s="70"/>
      <c r="M554" s="70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8"/>
      <c r="K555" s="69"/>
      <c r="L555" s="70"/>
      <c r="M555" s="70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spans="1:2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8"/>
      <c r="K556" s="69"/>
      <c r="L556" s="70"/>
      <c r="M556" s="70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spans="1:26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8"/>
      <c r="K557" s="69"/>
      <c r="L557" s="70"/>
      <c r="M557" s="70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spans="1:26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8"/>
      <c r="K558" s="69"/>
      <c r="L558" s="70"/>
      <c r="M558" s="70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spans="1:26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8"/>
      <c r="K559" s="69"/>
      <c r="L559" s="70"/>
      <c r="M559" s="70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spans="1:26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8"/>
      <c r="K560" s="69"/>
      <c r="L560" s="70"/>
      <c r="M560" s="70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spans="1:26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8"/>
      <c r="K561" s="69"/>
      <c r="L561" s="70"/>
      <c r="M561" s="70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spans="1:26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8"/>
      <c r="K562" s="69"/>
      <c r="L562" s="70"/>
      <c r="M562" s="70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spans="1:26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8"/>
      <c r="K563" s="69"/>
      <c r="L563" s="70"/>
      <c r="M563" s="70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spans="1:26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8"/>
      <c r="K564" s="69"/>
      <c r="L564" s="70"/>
      <c r="M564" s="70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spans="1:26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8"/>
      <c r="K565" s="69"/>
      <c r="L565" s="70"/>
      <c r="M565" s="70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spans="1:2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8"/>
      <c r="K566" s="69"/>
      <c r="L566" s="70"/>
      <c r="M566" s="70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spans="1:26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8"/>
      <c r="K567" s="69"/>
      <c r="L567" s="70"/>
      <c r="M567" s="70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spans="1:26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8"/>
      <c r="K568" s="69"/>
      <c r="L568" s="70"/>
      <c r="M568" s="70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spans="1:26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8"/>
      <c r="K569" s="69"/>
      <c r="L569" s="70"/>
      <c r="M569" s="70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spans="1:26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8"/>
      <c r="K570" s="69"/>
      <c r="L570" s="70"/>
      <c r="M570" s="70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spans="1:26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8"/>
      <c r="K571" s="69"/>
      <c r="L571" s="70"/>
      <c r="M571" s="70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spans="1:26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8"/>
      <c r="K572" s="69"/>
      <c r="L572" s="70"/>
      <c r="M572" s="70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spans="1:26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8"/>
      <c r="K573" s="69"/>
      <c r="L573" s="70"/>
      <c r="M573" s="70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spans="1:26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8"/>
      <c r="K574" s="69"/>
      <c r="L574" s="70"/>
      <c r="M574" s="70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spans="1:26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8"/>
      <c r="K575" s="69"/>
      <c r="L575" s="70"/>
      <c r="M575" s="70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spans="1:2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8"/>
      <c r="K576" s="69"/>
      <c r="L576" s="70"/>
      <c r="M576" s="70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spans="1:26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8"/>
      <c r="K577" s="69"/>
      <c r="L577" s="70"/>
      <c r="M577" s="70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spans="1:26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8"/>
      <c r="K578" s="69"/>
      <c r="L578" s="70"/>
      <c r="M578" s="70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8"/>
      <c r="K579" s="69"/>
      <c r="L579" s="70"/>
      <c r="M579" s="70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spans="1:26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8"/>
      <c r="K580" s="69"/>
      <c r="L580" s="70"/>
      <c r="M580" s="70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8"/>
      <c r="K581" s="69"/>
      <c r="L581" s="70"/>
      <c r="M581" s="70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spans="1:26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8"/>
      <c r="K582" s="69"/>
      <c r="L582" s="70"/>
      <c r="M582" s="70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spans="1:26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8"/>
      <c r="K583" s="69"/>
      <c r="L583" s="70"/>
      <c r="M583" s="70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spans="1:26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8"/>
      <c r="K584" s="69"/>
      <c r="L584" s="70"/>
      <c r="M584" s="70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spans="1:26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8"/>
      <c r="K585" s="69"/>
      <c r="L585" s="70"/>
      <c r="M585" s="70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spans="1:2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8"/>
      <c r="K586" s="69"/>
      <c r="L586" s="70"/>
      <c r="M586" s="70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spans="1:26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8"/>
      <c r="K587" s="69"/>
      <c r="L587" s="70"/>
      <c r="M587" s="70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spans="1:26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8"/>
      <c r="K588" s="69"/>
      <c r="L588" s="70"/>
      <c r="M588" s="70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spans="1:26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8"/>
      <c r="K589" s="69"/>
      <c r="L589" s="70"/>
      <c r="M589" s="70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spans="1:26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8"/>
      <c r="K590" s="69"/>
      <c r="L590" s="70"/>
      <c r="M590" s="70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spans="1:26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8"/>
      <c r="K591" s="69"/>
      <c r="L591" s="70"/>
      <c r="M591" s="70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spans="1:26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8"/>
      <c r="K592" s="69"/>
      <c r="L592" s="70"/>
      <c r="M592" s="70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spans="1:26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8"/>
      <c r="K593" s="69"/>
      <c r="L593" s="70"/>
      <c r="M593" s="70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spans="1:26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8"/>
      <c r="K594" s="69"/>
      <c r="L594" s="70"/>
      <c r="M594" s="70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spans="1:26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8"/>
      <c r="K595" s="69"/>
      <c r="L595" s="70"/>
      <c r="M595" s="70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spans="1:2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8"/>
      <c r="K596" s="69"/>
      <c r="L596" s="70"/>
      <c r="M596" s="70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spans="1:26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8"/>
      <c r="K597" s="69"/>
      <c r="L597" s="70"/>
      <c r="M597" s="70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spans="1:26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8"/>
      <c r="K598" s="69"/>
      <c r="L598" s="70"/>
      <c r="M598" s="70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spans="1:26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8"/>
      <c r="K599" s="69"/>
      <c r="L599" s="70"/>
      <c r="M599" s="70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spans="1:26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8"/>
      <c r="K600" s="69"/>
      <c r="L600" s="70"/>
      <c r="M600" s="70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spans="1:26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8"/>
      <c r="K601" s="69"/>
      <c r="L601" s="70"/>
      <c r="M601" s="70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spans="1:26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8"/>
      <c r="K602" s="69"/>
      <c r="L602" s="70"/>
      <c r="M602" s="70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spans="1:26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8"/>
      <c r="K603" s="69"/>
      <c r="L603" s="70"/>
      <c r="M603" s="70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spans="1:26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8"/>
      <c r="K604" s="69"/>
      <c r="L604" s="70"/>
      <c r="M604" s="70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8"/>
      <c r="K605" s="69"/>
      <c r="L605" s="70"/>
      <c r="M605" s="70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spans="1:2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8"/>
      <c r="K606" s="69"/>
      <c r="L606" s="70"/>
      <c r="M606" s="70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spans="1:26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8"/>
      <c r="K607" s="69"/>
      <c r="L607" s="70"/>
      <c r="M607" s="70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spans="1:26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8"/>
      <c r="K608" s="69"/>
      <c r="L608" s="70"/>
      <c r="M608" s="70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spans="1:26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8"/>
      <c r="K609" s="69"/>
      <c r="L609" s="70"/>
      <c r="M609" s="70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spans="1:26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8"/>
      <c r="K610" s="69"/>
      <c r="L610" s="70"/>
      <c r="M610" s="70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spans="1:26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8"/>
      <c r="K611" s="69"/>
      <c r="L611" s="70"/>
      <c r="M611" s="70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spans="1:26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8"/>
      <c r="K612" s="69"/>
      <c r="L612" s="70"/>
      <c r="M612" s="70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spans="1:26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8"/>
      <c r="K613" s="69"/>
      <c r="L613" s="70"/>
      <c r="M613" s="70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spans="1:26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8"/>
      <c r="K614" s="69"/>
      <c r="L614" s="70"/>
      <c r="M614" s="70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spans="1:26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8"/>
      <c r="K615" s="69"/>
      <c r="L615" s="70"/>
      <c r="M615" s="70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spans="1:2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8"/>
      <c r="K616" s="69"/>
      <c r="L616" s="70"/>
      <c r="M616" s="70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spans="1:26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8"/>
      <c r="K617" s="69"/>
      <c r="L617" s="70"/>
      <c r="M617" s="70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spans="1:26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8"/>
      <c r="K618" s="69"/>
      <c r="L618" s="70"/>
      <c r="M618" s="70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spans="1:26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8"/>
      <c r="K619" s="69"/>
      <c r="L619" s="70"/>
      <c r="M619" s="70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spans="1:26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8"/>
      <c r="K620" s="69"/>
      <c r="L620" s="70"/>
      <c r="M620" s="70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spans="1:26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8"/>
      <c r="K621" s="69"/>
      <c r="L621" s="70"/>
      <c r="M621" s="70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spans="1:26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8"/>
      <c r="K622" s="69"/>
      <c r="L622" s="70"/>
      <c r="M622" s="70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spans="1:26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8"/>
      <c r="K623" s="69"/>
      <c r="L623" s="70"/>
      <c r="M623" s="70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spans="1:26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8"/>
      <c r="K624" s="69"/>
      <c r="L624" s="70"/>
      <c r="M624" s="70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spans="1:26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8"/>
      <c r="K625" s="69"/>
      <c r="L625" s="70"/>
      <c r="M625" s="70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spans="1: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8"/>
      <c r="K626" s="69"/>
      <c r="L626" s="70"/>
      <c r="M626" s="70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spans="1:26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8"/>
      <c r="K627" s="69"/>
      <c r="L627" s="70"/>
      <c r="M627" s="70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spans="1:26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8"/>
      <c r="K628" s="69"/>
      <c r="L628" s="70"/>
      <c r="M628" s="70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8"/>
      <c r="K629" s="69"/>
      <c r="L629" s="70"/>
      <c r="M629" s="70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8"/>
      <c r="K630" s="69"/>
      <c r="L630" s="70"/>
      <c r="M630" s="70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spans="1:26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8"/>
      <c r="K631" s="69"/>
      <c r="L631" s="70"/>
      <c r="M631" s="70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spans="1:26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8"/>
      <c r="K632" s="69"/>
      <c r="L632" s="70"/>
      <c r="M632" s="70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spans="1:26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8"/>
      <c r="K633" s="69"/>
      <c r="L633" s="70"/>
      <c r="M633" s="70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spans="1:26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8"/>
      <c r="K634" s="69"/>
      <c r="L634" s="70"/>
      <c r="M634" s="70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spans="1:26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8"/>
      <c r="K635" s="69"/>
      <c r="L635" s="70"/>
      <c r="M635" s="70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spans="1:2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8"/>
      <c r="K636" s="69"/>
      <c r="L636" s="70"/>
      <c r="M636" s="70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spans="1:26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8"/>
      <c r="K637" s="69"/>
      <c r="L637" s="70"/>
      <c r="M637" s="70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spans="1:26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8"/>
      <c r="K638" s="69"/>
      <c r="L638" s="70"/>
      <c r="M638" s="70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spans="1:26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8"/>
      <c r="K639" s="69"/>
      <c r="L639" s="70"/>
      <c r="M639" s="70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spans="1:26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8"/>
      <c r="K640" s="69"/>
      <c r="L640" s="70"/>
      <c r="M640" s="70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spans="1:26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8"/>
      <c r="K641" s="69"/>
      <c r="L641" s="70"/>
      <c r="M641" s="70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spans="1:26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8"/>
      <c r="K642" s="69"/>
      <c r="L642" s="70"/>
      <c r="M642" s="70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spans="1:26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8"/>
      <c r="K643" s="69"/>
      <c r="L643" s="70"/>
      <c r="M643" s="70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spans="1:26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8"/>
      <c r="K644" s="69"/>
      <c r="L644" s="70"/>
      <c r="M644" s="70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spans="1:26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8"/>
      <c r="K645" s="69"/>
      <c r="L645" s="70"/>
      <c r="M645" s="70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spans="1:2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8"/>
      <c r="K646" s="69"/>
      <c r="L646" s="70"/>
      <c r="M646" s="70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spans="1:26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8"/>
      <c r="K647" s="69"/>
      <c r="L647" s="70"/>
      <c r="M647" s="70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spans="1:26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8"/>
      <c r="K648" s="69"/>
      <c r="L648" s="70"/>
      <c r="M648" s="70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spans="1:26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8"/>
      <c r="K649" s="69"/>
      <c r="L649" s="70"/>
      <c r="M649" s="70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spans="1:26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8"/>
      <c r="K650" s="69"/>
      <c r="L650" s="70"/>
      <c r="M650" s="70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spans="1:26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8"/>
      <c r="K651" s="69"/>
      <c r="L651" s="70"/>
      <c r="M651" s="70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spans="1:26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8"/>
      <c r="K652" s="69"/>
      <c r="L652" s="70"/>
      <c r="M652" s="70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spans="1:26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8"/>
      <c r="K653" s="69"/>
      <c r="L653" s="70"/>
      <c r="M653" s="70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8"/>
      <c r="K654" s="69"/>
      <c r="L654" s="70"/>
      <c r="M654" s="70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spans="1:26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8"/>
      <c r="K655" s="69"/>
      <c r="L655" s="70"/>
      <c r="M655" s="70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8"/>
      <c r="K656" s="69"/>
      <c r="L656" s="70"/>
      <c r="M656" s="70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spans="1:26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8"/>
      <c r="K657" s="69"/>
      <c r="L657" s="70"/>
      <c r="M657" s="70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spans="1:26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8"/>
      <c r="K658" s="69"/>
      <c r="L658" s="70"/>
      <c r="M658" s="70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spans="1:26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8"/>
      <c r="K659" s="69"/>
      <c r="L659" s="70"/>
      <c r="M659" s="70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spans="1:26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8"/>
      <c r="K660" s="69"/>
      <c r="L660" s="70"/>
      <c r="M660" s="70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spans="1:26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8"/>
      <c r="K661" s="69"/>
      <c r="L661" s="70"/>
      <c r="M661" s="70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spans="1:26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8"/>
      <c r="K662" s="69"/>
      <c r="L662" s="70"/>
      <c r="M662" s="70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spans="1:26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8"/>
      <c r="K663" s="69"/>
      <c r="L663" s="70"/>
      <c r="M663" s="70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spans="1:26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8"/>
      <c r="K664" s="69"/>
      <c r="L664" s="70"/>
      <c r="M664" s="70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spans="1:26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8"/>
      <c r="K665" s="69"/>
      <c r="L665" s="70"/>
      <c r="M665" s="70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spans="1:2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8"/>
      <c r="K666" s="69"/>
      <c r="L666" s="70"/>
      <c r="M666" s="70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spans="1:26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8"/>
      <c r="K667" s="69"/>
      <c r="L667" s="70"/>
      <c r="M667" s="70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spans="1:26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8"/>
      <c r="K668" s="69"/>
      <c r="L668" s="70"/>
      <c r="M668" s="70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spans="1:26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8"/>
      <c r="K669" s="69"/>
      <c r="L669" s="70"/>
      <c r="M669" s="70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spans="1:26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8"/>
      <c r="K670" s="69"/>
      <c r="L670" s="70"/>
      <c r="M670" s="70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spans="1:26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8"/>
      <c r="K671" s="69"/>
      <c r="L671" s="70"/>
      <c r="M671" s="70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spans="1:26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8"/>
      <c r="K672" s="69"/>
      <c r="L672" s="70"/>
      <c r="M672" s="70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spans="1:26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8"/>
      <c r="K673" s="69"/>
      <c r="L673" s="70"/>
      <c r="M673" s="70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spans="1:26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8"/>
      <c r="K674" s="69"/>
      <c r="L674" s="70"/>
      <c r="M674" s="70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spans="1:26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8"/>
      <c r="K675" s="69"/>
      <c r="L675" s="70"/>
      <c r="M675" s="70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spans="1:2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8"/>
      <c r="K676" s="69"/>
      <c r="L676" s="70"/>
      <c r="M676" s="70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spans="1:26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8"/>
      <c r="K677" s="69"/>
      <c r="L677" s="70"/>
      <c r="M677" s="70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spans="1:26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8"/>
      <c r="K678" s="69"/>
      <c r="L678" s="70"/>
      <c r="M678" s="70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spans="1:26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8"/>
      <c r="K679" s="69"/>
      <c r="L679" s="70"/>
      <c r="M679" s="70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spans="1:26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8"/>
      <c r="K680" s="69"/>
      <c r="L680" s="70"/>
      <c r="M680" s="70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8"/>
      <c r="K681" s="69"/>
      <c r="L681" s="70"/>
      <c r="M681" s="70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spans="1:26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8"/>
      <c r="K682" s="69"/>
      <c r="L682" s="70"/>
      <c r="M682" s="70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spans="1:26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8"/>
      <c r="K683" s="69"/>
      <c r="L683" s="70"/>
      <c r="M683" s="70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spans="1:26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8"/>
      <c r="K684" s="69"/>
      <c r="L684" s="70"/>
      <c r="M684" s="70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spans="1:26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8"/>
      <c r="K685" s="69"/>
      <c r="L685" s="70"/>
      <c r="M685" s="70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spans="1:2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8"/>
      <c r="K686" s="69"/>
      <c r="L686" s="70"/>
      <c r="M686" s="70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spans="1:26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8"/>
      <c r="K687" s="69"/>
      <c r="L687" s="70"/>
      <c r="M687" s="70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spans="1:26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8"/>
      <c r="K688" s="69"/>
      <c r="L688" s="70"/>
      <c r="M688" s="70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spans="1:26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8"/>
      <c r="K689" s="69"/>
      <c r="L689" s="70"/>
      <c r="M689" s="70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spans="1:26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8"/>
      <c r="K690" s="69"/>
      <c r="L690" s="70"/>
      <c r="M690" s="70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spans="1:26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8"/>
      <c r="K691" s="69"/>
      <c r="L691" s="70"/>
      <c r="M691" s="70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spans="1:26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8"/>
      <c r="K692" s="69"/>
      <c r="L692" s="70"/>
      <c r="M692" s="70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spans="1:26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8"/>
      <c r="K693" s="69"/>
      <c r="L693" s="70"/>
      <c r="M693" s="70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spans="1:26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8"/>
      <c r="K694" s="69"/>
      <c r="L694" s="70"/>
      <c r="M694" s="70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spans="1:26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8"/>
      <c r="K695" s="69"/>
      <c r="L695" s="70"/>
      <c r="M695" s="70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spans="1:2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8"/>
      <c r="K696" s="69"/>
      <c r="L696" s="70"/>
      <c r="M696" s="70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8"/>
      <c r="K697" s="69"/>
      <c r="L697" s="70"/>
      <c r="M697" s="70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8"/>
      <c r="K698" s="69"/>
      <c r="L698" s="70"/>
      <c r="M698" s="70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8"/>
      <c r="K699" s="69"/>
      <c r="L699" s="70"/>
      <c r="M699" s="70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spans="1:26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8"/>
      <c r="K700" s="69"/>
      <c r="L700" s="70"/>
      <c r="M700" s="70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8"/>
      <c r="K701" s="69"/>
      <c r="L701" s="70"/>
      <c r="M701" s="70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8"/>
      <c r="K702" s="69"/>
      <c r="L702" s="70"/>
      <c r="M702" s="70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8"/>
      <c r="K703" s="69"/>
      <c r="L703" s="70"/>
      <c r="M703" s="70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8"/>
      <c r="K704" s="69"/>
      <c r="L704" s="70"/>
      <c r="M704" s="70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spans="1:26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8"/>
      <c r="K705" s="69"/>
      <c r="L705" s="70"/>
      <c r="M705" s="70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8"/>
      <c r="K706" s="69"/>
      <c r="L706" s="70"/>
      <c r="M706" s="70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spans="1:26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8"/>
      <c r="K707" s="69"/>
      <c r="L707" s="70"/>
      <c r="M707" s="70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spans="1:26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8"/>
      <c r="K708" s="69"/>
      <c r="L708" s="70"/>
      <c r="M708" s="70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spans="1:26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8"/>
      <c r="K709" s="69"/>
      <c r="L709" s="70"/>
      <c r="M709" s="70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spans="1:26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8"/>
      <c r="K710" s="69"/>
      <c r="L710" s="70"/>
      <c r="M710" s="70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spans="1:26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8"/>
      <c r="K711" s="69"/>
      <c r="L711" s="70"/>
      <c r="M711" s="70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spans="1:26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8"/>
      <c r="K712" s="69"/>
      <c r="L712" s="70"/>
      <c r="M712" s="70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spans="1:26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8"/>
      <c r="K713" s="69"/>
      <c r="L713" s="70"/>
      <c r="M713" s="70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spans="1:26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8"/>
      <c r="K714" s="69"/>
      <c r="L714" s="70"/>
      <c r="M714" s="70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spans="1:26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8"/>
      <c r="K715" s="69"/>
      <c r="L715" s="70"/>
      <c r="M715" s="70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spans="1:2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8"/>
      <c r="K716" s="69"/>
      <c r="L716" s="70"/>
      <c r="M716" s="70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spans="1:26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8"/>
      <c r="K717" s="69"/>
      <c r="L717" s="70"/>
      <c r="M717" s="70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spans="1:26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8"/>
      <c r="K718" s="69"/>
      <c r="L718" s="70"/>
      <c r="M718" s="70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spans="1:26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8"/>
      <c r="K719" s="69"/>
      <c r="L719" s="70"/>
      <c r="M719" s="70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spans="1:26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8"/>
      <c r="K720" s="69"/>
      <c r="L720" s="70"/>
      <c r="M720" s="70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spans="1:26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8"/>
      <c r="K721" s="69"/>
      <c r="L721" s="70"/>
      <c r="M721" s="70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spans="1:26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8"/>
      <c r="K722" s="69"/>
      <c r="L722" s="70"/>
      <c r="M722" s="70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spans="1:26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8"/>
      <c r="K723" s="69"/>
      <c r="L723" s="70"/>
      <c r="M723" s="70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spans="1:26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8"/>
      <c r="K724" s="69"/>
      <c r="L724" s="70"/>
      <c r="M724" s="70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spans="1:26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8"/>
      <c r="K725" s="69"/>
      <c r="L725" s="70"/>
      <c r="M725" s="70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spans="1: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8"/>
      <c r="K726" s="69"/>
      <c r="L726" s="70"/>
      <c r="M726" s="70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spans="1:26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8"/>
      <c r="K727" s="69"/>
      <c r="L727" s="70"/>
      <c r="M727" s="70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spans="1:26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8"/>
      <c r="K728" s="69"/>
      <c r="L728" s="70"/>
      <c r="M728" s="70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8"/>
      <c r="K729" s="69"/>
      <c r="L729" s="70"/>
      <c r="M729" s="70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8"/>
      <c r="K730" s="69"/>
      <c r="L730" s="70"/>
      <c r="M730" s="70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spans="1:26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8"/>
      <c r="K731" s="69"/>
      <c r="L731" s="70"/>
      <c r="M731" s="70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spans="1:26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8"/>
      <c r="K732" s="69"/>
      <c r="L732" s="70"/>
      <c r="M732" s="70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spans="1:26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8"/>
      <c r="K733" s="69"/>
      <c r="L733" s="70"/>
      <c r="M733" s="70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spans="1:26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8"/>
      <c r="K734" s="69"/>
      <c r="L734" s="70"/>
      <c r="M734" s="70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spans="1:26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8"/>
      <c r="K735" s="69"/>
      <c r="L735" s="70"/>
      <c r="M735" s="70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spans="1:2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8"/>
      <c r="K736" s="69"/>
      <c r="L736" s="70"/>
      <c r="M736" s="70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spans="1:26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8"/>
      <c r="K737" s="69"/>
      <c r="L737" s="70"/>
      <c r="M737" s="70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spans="1:26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8"/>
      <c r="K738" s="69"/>
      <c r="L738" s="70"/>
      <c r="M738" s="70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spans="1:26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8"/>
      <c r="K739" s="69"/>
      <c r="L739" s="70"/>
      <c r="M739" s="70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spans="1:26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8"/>
      <c r="K740" s="69"/>
      <c r="L740" s="70"/>
      <c r="M740" s="70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spans="1:26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8"/>
      <c r="K741" s="69"/>
      <c r="L741" s="70"/>
      <c r="M741" s="70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spans="1:26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8"/>
      <c r="K742" s="69"/>
      <c r="L742" s="70"/>
      <c r="M742" s="70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spans="1:26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8"/>
      <c r="K743" s="69"/>
      <c r="L743" s="70"/>
      <c r="M743" s="70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spans="1:26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8"/>
      <c r="K744" s="69"/>
      <c r="L744" s="70"/>
      <c r="M744" s="70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spans="1:26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8"/>
      <c r="K745" s="69"/>
      <c r="L745" s="70"/>
      <c r="M745" s="70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spans="1:2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8"/>
      <c r="K746" s="69"/>
      <c r="L746" s="70"/>
      <c r="M746" s="70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spans="1:26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8"/>
      <c r="K747" s="69"/>
      <c r="L747" s="70"/>
      <c r="M747" s="70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spans="1:26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8"/>
      <c r="K748" s="69"/>
      <c r="L748" s="70"/>
      <c r="M748" s="70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spans="1:26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8"/>
      <c r="K749" s="69"/>
      <c r="L749" s="70"/>
      <c r="M749" s="70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spans="1:26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8"/>
      <c r="K750" s="69"/>
      <c r="L750" s="70"/>
      <c r="M750" s="70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spans="1:26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8"/>
      <c r="K751" s="69"/>
      <c r="L751" s="70"/>
      <c r="M751" s="70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spans="1:26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8"/>
      <c r="K752" s="69"/>
      <c r="L752" s="70"/>
      <c r="M752" s="70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spans="1:26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8"/>
      <c r="K753" s="69"/>
      <c r="L753" s="70"/>
      <c r="M753" s="70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8"/>
      <c r="K754" s="69"/>
      <c r="L754" s="70"/>
      <c r="M754" s="70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spans="1:26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8"/>
      <c r="K755" s="69"/>
      <c r="L755" s="70"/>
      <c r="M755" s="70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spans="1:2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8"/>
      <c r="K756" s="69"/>
      <c r="L756" s="70"/>
      <c r="M756" s="70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spans="1:26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8"/>
      <c r="K757" s="69"/>
      <c r="L757" s="70"/>
      <c r="M757" s="70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spans="1:26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8"/>
      <c r="K758" s="69"/>
      <c r="L758" s="70"/>
      <c r="M758" s="70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spans="1:26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8"/>
      <c r="K759" s="69"/>
      <c r="L759" s="70"/>
      <c r="M759" s="70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spans="1:26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8"/>
      <c r="K760" s="69"/>
      <c r="L760" s="70"/>
      <c r="M760" s="70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spans="1:26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8"/>
      <c r="K761" s="69"/>
      <c r="L761" s="70"/>
      <c r="M761" s="70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spans="1:26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8"/>
      <c r="K762" s="69"/>
      <c r="L762" s="70"/>
      <c r="M762" s="70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spans="1:26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8"/>
      <c r="K763" s="69"/>
      <c r="L763" s="70"/>
      <c r="M763" s="70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spans="1:26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8"/>
      <c r="K764" s="69"/>
      <c r="L764" s="70"/>
      <c r="M764" s="70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spans="1:26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8"/>
      <c r="K765" s="69"/>
      <c r="L765" s="70"/>
      <c r="M765" s="70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spans="1:2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8"/>
      <c r="K766" s="69"/>
      <c r="L766" s="70"/>
      <c r="M766" s="70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spans="1:26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8"/>
      <c r="K767" s="69"/>
      <c r="L767" s="70"/>
      <c r="M767" s="70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spans="1:26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8"/>
      <c r="K768" s="69"/>
      <c r="L768" s="70"/>
      <c r="M768" s="70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spans="1:26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8"/>
      <c r="K769" s="69"/>
      <c r="L769" s="70"/>
      <c r="M769" s="70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spans="1:26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8"/>
      <c r="K770" s="69"/>
      <c r="L770" s="70"/>
      <c r="M770" s="70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spans="1:26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8"/>
      <c r="K771" s="69"/>
      <c r="L771" s="70"/>
      <c r="M771" s="70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spans="1:26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8"/>
      <c r="K772" s="69"/>
      <c r="L772" s="70"/>
      <c r="M772" s="70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spans="1:26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8"/>
      <c r="K773" s="69"/>
      <c r="L773" s="70"/>
      <c r="M773" s="70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spans="1:26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8"/>
      <c r="K774" s="69"/>
      <c r="L774" s="70"/>
      <c r="M774" s="70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spans="1:26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8"/>
      <c r="K775" s="69"/>
      <c r="L775" s="70"/>
      <c r="M775" s="70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spans="1:2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8"/>
      <c r="K776" s="69"/>
      <c r="L776" s="70"/>
      <c r="M776" s="70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spans="1:26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8"/>
      <c r="K777" s="69"/>
      <c r="L777" s="70"/>
      <c r="M777" s="70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spans="1:26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8"/>
      <c r="K778" s="69"/>
      <c r="L778" s="70"/>
      <c r="M778" s="70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8"/>
      <c r="K779" s="69"/>
      <c r="L779" s="70"/>
      <c r="M779" s="70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spans="1:26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8"/>
      <c r="K780" s="69"/>
      <c r="L780" s="70"/>
      <c r="M780" s="70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spans="1:26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8"/>
      <c r="K781" s="69"/>
      <c r="L781" s="70"/>
      <c r="M781" s="70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spans="1:26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8"/>
      <c r="K782" s="69"/>
      <c r="L782" s="70"/>
      <c r="M782" s="70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spans="1:26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8"/>
      <c r="K783" s="69"/>
      <c r="L783" s="70"/>
      <c r="M783" s="70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spans="1:26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8"/>
      <c r="K784" s="69"/>
      <c r="L784" s="70"/>
      <c r="M784" s="70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spans="1:26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8"/>
      <c r="K785" s="69"/>
      <c r="L785" s="70"/>
      <c r="M785" s="70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spans="1:2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8"/>
      <c r="K786" s="69"/>
      <c r="L786" s="70"/>
      <c r="M786" s="70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spans="1:26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8"/>
      <c r="K787" s="69"/>
      <c r="L787" s="70"/>
      <c r="M787" s="70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spans="1:26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8"/>
      <c r="K788" s="69"/>
      <c r="L788" s="70"/>
      <c r="M788" s="70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spans="1:26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8"/>
      <c r="K789" s="69"/>
      <c r="L789" s="70"/>
      <c r="M789" s="70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spans="1:26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8"/>
      <c r="K790" s="69"/>
      <c r="L790" s="70"/>
      <c r="M790" s="70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spans="1:26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8"/>
      <c r="K791" s="69"/>
      <c r="L791" s="70"/>
      <c r="M791" s="70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spans="1:26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8"/>
      <c r="K792" s="69"/>
      <c r="L792" s="70"/>
      <c r="M792" s="70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spans="1:26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8"/>
      <c r="K793" s="69"/>
      <c r="L793" s="70"/>
      <c r="M793" s="70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spans="1:26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8"/>
      <c r="K794" s="69"/>
      <c r="L794" s="70"/>
      <c r="M794" s="70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spans="1:26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8"/>
      <c r="K795" s="69"/>
      <c r="L795" s="70"/>
      <c r="M795" s="70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spans="1:2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8"/>
      <c r="K796" s="69"/>
      <c r="L796" s="70"/>
      <c r="M796" s="70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spans="1:26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8"/>
      <c r="K797" s="69"/>
      <c r="L797" s="70"/>
      <c r="M797" s="70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spans="1:26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8"/>
      <c r="K798" s="69"/>
      <c r="L798" s="70"/>
      <c r="M798" s="70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spans="1:26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8"/>
      <c r="K799" s="69"/>
      <c r="L799" s="70"/>
      <c r="M799" s="70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spans="1:26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8"/>
      <c r="K800" s="69"/>
      <c r="L800" s="70"/>
      <c r="M800" s="70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spans="1:26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8"/>
      <c r="K801" s="69"/>
      <c r="L801" s="70"/>
      <c r="M801" s="70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spans="1:26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8"/>
      <c r="K802" s="69"/>
      <c r="L802" s="70"/>
      <c r="M802" s="70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8"/>
      <c r="K803" s="69"/>
      <c r="L803" s="70"/>
      <c r="M803" s="70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spans="1:26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8"/>
      <c r="K804" s="69"/>
      <c r="L804" s="70"/>
      <c r="M804" s="70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spans="1:26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8"/>
      <c r="K805" s="69"/>
      <c r="L805" s="70"/>
      <c r="M805" s="70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spans="1:2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8"/>
      <c r="K806" s="69"/>
      <c r="L806" s="70"/>
      <c r="M806" s="70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spans="1:26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8"/>
      <c r="K807" s="69"/>
      <c r="L807" s="70"/>
      <c r="M807" s="70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spans="1:26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8"/>
      <c r="K808" s="69"/>
      <c r="L808" s="70"/>
      <c r="M808" s="70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spans="1:26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8"/>
      <c r="K809" s="69"/>
      <c r="L809" s="70"/>
      <c r="M809" s="70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spans="1:26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8"/>
      <c r="K810" s="69"/>
      <c r="L810" s="70"/>
      <c r="M810" s="70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spans="1:26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8"/>
      <c r="K811" s="69"/>
      <c r="L811" s="70"/>
      <c r="M811" s="70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spans="1:26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8"/>
      <c r="K812" s="69"/>
      <c r="L812" s="70"/>
      <c r="M812" s="70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spans="1:26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8"/>
      <c r="K813" s="69"/>
      <c r="L813" s="70"/>
      <c r="M813" s="70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spans="1:26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8"/>
      <c r="K814" s="69"/>
      <c r="L814" s="70"/>
      <c r="M814" s="70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spans="1:26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8"/>
      <c r="K815" s="69"/>
      <c r="L815" s="70"/>
      <c r="M815" s="70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spans="1:2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8"/>
      <c r="K816" s="69"/>
      <c r="L816" s="70"/>
      <c r="M816" s="70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spans="1:26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8"/>
      <c r="K817" s="69"/>
      <c r="L817" s="70"/>
      <c r="M817" s="70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spans="1:26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8"/>
      <c r="K818" s="69"/>
      <c r="L818" s="70"/>
      <c r="M818" s="70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spans="1:26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8"/>
      <c r="K819" s="69"/>
      <c r="L819" s="70"/>
      <c r="M819" s="70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spans="1:26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8"/>
      <c r="K820" s="69"/>
      <c r="L820" s="70"/>
      <c r="M820" s="70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spans="1:26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8"/>
      <c r="K821" s="69"/>
      <c r="L821" s="70"/>
      <c r="M821" s="70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spans="1:26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8"/>
      <c r="K822" s="69"/>
      <c r="L822" s="70"/>
      <c r="M822" s="70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spans="1:26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8"/>
      <c r="K823" s="69"/>
      <c r="L823" s="70"/>
      <c r="M823" s="70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spans="1:26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8"/>
      <c r="K824" s="69"/>
      <c r="L824" s="70"/>
      <c r="M824" s="70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spans="1:26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8"/>
      <c r="K825" s="69"/>
      <c r="L825" s="70"/>
      <c r="M825" s="70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spans="1: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8"/>
      <c r="K826" s="69"/>
      <c r="L826" s="70"/>
      <c r="M826" s="70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spans="1:26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8"/>
      <c r="K827" s="69"/>
      <c r="L827" s="70"/>
      <c r="M827" s="70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8"/>
      <c r="K828" s="69"/>
      <c r="L828" s="70"/>
      <c r="M828" s="70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spans="1:26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8"/>
      <c r="K829" s="69"/>
      <c r="L829" s="70"/>
      <c r="M829" s="70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spans="1:26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8"/>
      <c r="K830" s="69"/>
      <c r="L830" s="70"/>
      <c r="M830" s="70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spans="1:26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8"/>
      <c r="K831" s="69"/>
      <c r="L831" s="70"/>
      <c r="M831" s="70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spans="1:26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8"/>
      <c r="K832" s="69"/>
      <c r="L832" s="70"/>
      <c r="M832" s="70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spans="1:26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8"/>
      <c r="K833" s="69"/>
      <c r="L833" s="70"/>
      <c r="M833" s="70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spans="1:26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8"/>
      <c r="K834" s="69"/>
      <c r="L834" s="70"/>
      <c r="M834" s="70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spans="1:26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8"/>
      <c r="K835" s="69"/>
      <c r="L835" s="70"/>
      <c r="M835" s="70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spans="1:2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8"/>
      <c r="K836" s="69"/>
      <c r="L836" s="70"/>
      <c r="M836" s="70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spans="1:26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8"/>
      <c r="K837" s="69"/>
      <c r="L837" s="70"/>
      <c r="M837" s="70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spans="1:26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8"/>
      <c r="K838" s="69"/>
      <c r="L838" s="70"/>
      <c r="M838" s="70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spans="1:26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8"/>
      <c r="K839" s="69"/>
      <c r="L839" s="70"/>
      <c r="M839" s="70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spans="1:26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8"/>
      <c r="K840" s="69"/>
      <c r="L840" s="70"/>
      <c r="M840" s="70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spans="1:26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8"/>
      <c r="K841" s="69"/>
      <c r="L841" s="70"/>
      <c r="M841" s="70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spans="1:26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8"/>
      <c r="K842" s="69"/>
      <c r="L842" s="70"/>
      <c r="M842" s="70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spans="1:26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8"/>
      <c r="K843" s="69"/>
      <c r="L843" s="70"/>
      <c r="M843" s="70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spans="1:26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8"/>
      <c r="K844" s="69"/>
      <c r="L844" s="70"/>
      <c r="M844" s="70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spans="1:26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8"/>
      <c r="K845" s="69"/>
      <c r="L845" s="70"/>
      <c r="M845" s="70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spans="1:2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8"/>
      <c r="K846" s="69"/>
      <c r="L846" s="70"/>
      <c r="M846" s="70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spans="1:26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8"/>
      <c r="K847" s="69"/>
      <c r="L847" s="70"/>
      <c r="M847" s="70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spans="1:26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8"/>
      <c r="K848" s="69"/>
      <c r="L848" s="70"/>
      <c r="M848" s="70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spans="1:26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8"/>
      <c r="K849" s="69"/>
      <c r="L849" s="70"/>
      <c r="M849" s="70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spans="1:26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8"/>
      <c r="K850" s="69"/>
      <c r="L850" s="70"/>
      <c r="M850" s="70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spans="1:26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8"/>
      <c r="K851" s="69"/>
      <c r="L851" s="70"/>
      <c r="M851" s="70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spans="1:26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8"/>
      <c r="K852" s="69"/>
      <c r="L852" s="70"/>
      <c r="M852" s="70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8"/>
      <c r="K853" s="69"/>
      <c r="L853" s="70"/>
      <c r="M853" s="70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spans="1:26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8"/>
      <c r="K854" s="69"/>
      <c r="L854" s="70"/>
      <c r="M854" s="70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spans="1:26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8"/>
      <c r="K855" s="69"/>
      <c r="L855" s="70"/>
      <c r="M855" s="70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spans="1:2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8"/>
      <c r="K856" s="69"/>
      <c r="L856" s="70"/>
      <c r="M856" s="70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spans="1:26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8"/>
      <c r="K857" s="69"/>
      <c r="L857" s="70"/>
      <c r="M857" s="70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spans="1:26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8"/>
      <c r="K858" s="69"/>
      <c r="L858" s="70"/>
      <c r="M858" s="70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spans="1:26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8"/>
      <c r="K859" s="69"/>
      <c r="L859" s="70"/>
      <c r="M859" s="70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spans="1:26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8"/>
      <c r="K860" s="69"/>
      <c r="L860" s="70"/>
      <c r="M860" s="70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spans="1:26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8"/>
      <c r="K861" s="69"/>
      <c r="L861" s="70"/>
      <c r="M861" s="70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spans="1:26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8"/>
      <c r="K862" s="69"/>
      <c r="L862" s="70"/>
      <c r="M862" s="70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spans="1:26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8"/>
      <c r="K863" s="69"/>
      <c r="L863" s="70"/>
      <c r="M863" s="70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spans="1:26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8"/>
      <c r="K864" s="69"/>
      <c r="L864" s="70"/>
      <c r="M864" s="70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spans="1:26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8"/>
      <c r="K865" s="69"/>
      <c r="L865" s="70"/>
      <c r="M865" s="70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spans="1:2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8"/>
      <c r="K866" s="69"/>
      <c r="L866" s="70"/>
      <c r="M866" s="70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spans="1:26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8"/>
      <c r="K867" s="69"/>
      <c r="L867" s="70"/>
      <c r="M867" s="70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spans="1:26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8"/>
      <c r="K868" s="69"/>
      <c r="L868" s="70"/>
      <c r="M868" s="70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spans="1:26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8"/>
      <c r="K869" s="69"/>
      <c r="L869" s="70"/>
      <c r="M869" s="70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spans="1:26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8"/>
      <c r="K870" s="69"/>
      <c r="L870" s="70"/>
      <c r="M870" s="70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spans="1:26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8"/>
      <c r="K871" s="69"/>
      <c r="L871" s="70"/>
      <c r="M871" s="70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spans="1:26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8"/>
      <c r="K872" s="69"/>
      <c r="L872" s="70"/>
      <c r="M872" s="70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spans="1:26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8"/>
      <c r="K873" s="69"/>
      <c r="L873" s="70"/>
      <c r="M873" s="70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spans="1:26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8"/>
      <c r="K874" s="69"/>
      <c r="L874" s="70"/>
      <c r="M874" s="70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spans="1:26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8"/>
      <c r="K875" s="69"/>
      <c r="L875" s="70"/>
      <c r="M875" s="70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spans="1:2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8"/>
      <c r="K876" s="69"/>
      <c r="L876" s="70"/>
      <c r="M876" s="70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8"/>
      <c r="K877" s="69"/>
      <c r="L877" s="70"/>
      <c r="M877" s="70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spans="1:26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8"/>
      <c r="K878" s="69"/>
      <c r="L878" s="70"/>
      <c r="M878" s="70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spans="1:26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8"/>
      <c r="K879" s="69"/>
      <c r="L879" s="70"/>
      <c r="M879" s="70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spans="1:26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8"/>
      <c r="K880" s="69"/>
      <c r="L880" s="70"/>
      <c r="M880" s="70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spans="1:26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8"/>
      <c r="K881" s="69"/>
      <c r="L881" s="70"/>
      <c r="M881" s="70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spans="1:26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8"/>
      <c r="K882" s="69"/>
      <c r="L882" s="70"/>
      <c r="M882" s="70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spans="1:26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8"/>
      <c r="K883" s="69"/>
      <c r="L883" s="70"/>
      <c r="M883" s="70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spans="1:26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8"/>
      <c r="K884" s="69"/>
      <c r="L884" s="70"/>
      <c r="M884" s="70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spans="1:26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8"/>
      <c r="K885" s="69"/>
      <c r="L885" s="70"/>
      <c r="M885" s="70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spans="1:2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8"/>
      <c r="K886" s="69"/>
      <c r="L886" s="70"/>
      <c r="M886" s="70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spans="1:26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8"/>
      <c r="K887" s="69"/>
      <c r="L887" s="70"/>
      <c r="M887" s="70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spans="1:26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8"/>
      <c r="K888" s="69"/>
      <c r="L888" s="70"/>
      <c r="M888" s="70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spans="1:26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8"/>
      <c r="K889" s="69"/>
      <c r="L889" s="70"/>
      <c r="M889" s="70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spans="1:26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8"/>
      <c r="K890" s="69"/>
      <c r="L890" s="70"/>
      <c r="M890" s="70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spans="1:26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8"/>
      <c r="K891" s="69"/>
      <c r="L891" s="70"/>
      <c r="M891" s="70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spans="1:26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8"/>
      <c r="K892" s="69"/>
      <c r="L892" s="70"/>
      <c r="M892" s="70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spans="1:26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8"/>
      <c r="K893" s="69"/>
      <c r="L893" s="70"/>
      <c r="M893" s="70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spans="1:26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8"/>
      <c r="K894" s="69"/>
      <c r="L894" s="70"/>
      <c r="M894" s="70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spans="1:26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8"/>
      <c r="K895" s="69"/>
      <c r="L895" s="70"/>
      <c r="M895" s="70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spans="1:2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8"/>
      <c r="K896" s="69"/>
      <c r="L896" s="70"/>
      <c r="M896" s="70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spans="1:26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8"/>
      <c r="K897" s="69"/>
      <c r="L897" s="70"/>
      <c r="M897" s="70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spans="1:26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8"/>
      <c r="K898" s="69"/>
      <c r="L898" s="70"/>
      <c r="M898" s="70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spans="1:26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8"/>
      <c r="K899" s="69"/>
      <c r="L899" s="70"/>
      <c r="M899" s="70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spans="1:26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8"/>
      <c r="K900" s="69"/>
      <c r="L900" s="70"/>
      <c r="M900" s="70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spans="1:26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8"/>
      <c r="K901" s="69"/>
      <c r="L901" s="70"/>
      <c r="M901" s="70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8"/>
      <c r="K902" s="69"/>
      <c r="L902" s="70"/>
      <c r="M902" s="70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spans="1:26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8"/>
      <c r="K903" s="69"/>
      <c r="L903" s="70"/>
      <c r="M903" s="70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spans="1:26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8"/>
      <c r="K904" s="69"/>
      <c r="L904" s="70"/>
      <c r="M904" s="70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spans="1:26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8"/>
      <c r="K905" s="69"/>
      <c r="L905" s="70"/>
      <c r="M905" s="70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spans="1:2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8"/>
      <c r="K906" s="69"/>
      <c r="L906" s="70"/>
      <c r="M906" s="70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spans="1:26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8"/>
      <c r="K907" s="69"/>
      <c r="L907" s="70"/>
      <c r="M907" s="70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spans="1:26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8"/>
      <c r="K908" s="69"/>
      <c r="L908" s="70"/>
      <c r="M908" s="70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spans="1:26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8"/>
      <c r="K909" s="69"/>
      <c r="L909" s="70"/>
      <c r="M909" s="70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spans="1:26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8"/>
      <c r="K910" s="69"/>
      <c r="L910" s="70"/>
      <c r="M910" s="70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spans="1:26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8"/>
      <c r="K911" s="69"/>
      <c r="L911" s="70"/>
      <c r="M911" s="70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spans="1:26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8"/>
      <c r="K912" s="69"/>
      <c r="L912" s="70"/>
      <c r="M912" s="70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spans="1:26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8"/>
      <c r="K913" s="69"/>
      <c r="L913" s="70"/>
      <c r="M913" s="70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spans="1:26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8"/>
      <c r="K914" s="69"/>
      <c r="L914" s="70"/>
      <c r="M914" s="70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spans="1:26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8"/>
      <c r="K915" s="69"/>
      <c r="L915" s="70"/>
      <c r="M915" s="70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spans="1:2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8"/>
      <c r="K916" s="69"/>
      <c r="L916" s="70"/>
      <c r="M916" s="70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spans="1:26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8"/>
      <c r="K917" s="69"/>
      <c r="L917" s="70"/>
      <c r="M917" s="70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spans="1:26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8"/>
      <c r="K918" s="69"/>
      <c r="L918" s="70"/>
      <c r="M918" s="70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spans="1:26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8"/>
      <c r="K919" s="69"/>
      <c r="L919" s="70"/>
      <c r="M919" s="70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spans="1:26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8"/>
      <c r="K920" s="69"/>
      <c r="L920" s="70"/>
      <c r="M920" s="70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spans="1:26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8"/>
      <c r="K921" s="69"/>
      <c r="L921" s="70"/>
      <c r="M921" s="70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spans="1:26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8"/>
      <c r="K922" s="69"/>
      <c r="L922" s="70"/>
      <c r="M922" s="70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spans="1:26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8"/>
      <c r="K923" s="69"/>
      <c r="L923" s="70"/>
      <c r="M923" s="70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spans="1:26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8"/>
      <c r="K924" s="69"/>
      <c r="L924" s="70"/>
      <c r="M924" s="70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spans="1:26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8"/>
      <c r="K925" s="69"/>
      <c r="L925" s="70"/>
      <c r="M925" s="70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spans="1: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8"/>
      <c r="K926" s="69"/>
      <c r="L926" s="70"/>
      <c r="M926" s="70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8"/>
      <c r="K927" s="69"/>
      <c r="L927" s="70"/>
      <c r="M927" s="70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spans="1:26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8"/>
      <c r="K928" s="69"/>
      <c r="L928" s="70"/>
      <c r="M928" s="70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spans="1:26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8"/>
      <c r="K929" s="69"/>
      <c r="L929" s="70"/>
      <c r="M929" s="70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spans="1:26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8"/>
      <c r="K930" s="69"/>
      <c r="L930" s="70"/>
      <c r="M930" s="70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spans="1:26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8"/>
      <c r="K931" s="69"/>
      <c r="L931" s="70"/>
      <c r="M931" s="70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spans="1:26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8"/>
      <c r="K932" s="69"/>
      <c r="L932" s="70"/>
      <c r="M932" s="70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spans="1:26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8"/>
      <c r="K933" s="69"/>
      <c r="L933" s="70"/>
      <c r="M933" s="70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spans="1:26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8"/>
      <c r="K934" s="69"/>
      <c r="L934" s="70"/>
      <c r="M934" s="70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spans="1:26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8"/>
      <c r="K935" s="69"/>
      <c r="L935" s="70"/>
      <c r="M935" s="70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spans="1:2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8"/>
      <c r="K936" s="69"/>
      <c r="L936" s="70"/>
      <c r="M936" s="70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spans="1:26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8"/>
      <c r="K937" s="69"/>
      <c r="L937" s="70"/>
      <c r="M937" s="70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spans="1:26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8"/>
      <c r="K938" s="69"/>
      <c r="L938" s="70"/>
      <c r="M938" s="70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spans="1:26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8"/>
      <c r="K939" s="69"/>
      <c r="L939" s="70"/>
      <c r="M939" s="70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spans="1:26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8"/>
      <c r="K940" s="69"/>
      <c r="L940" s="70"/>
      <c r="M940" s="70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spans="1:26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8"/>
      <c r="K941" s="69"/>
      <c r="L941" s="70"/>
      <c r="M941" s="70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spans="1:26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8"/>
      <c r="K942" s="69"/>
      <c r="L942" s="70"/>
      <c r="M942" s="70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spans="1:26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8"/>
      <c r="K943" s="69"/>
      <c r="L943" s="70"/>
      <c r="M943" s="70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spans="1:26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8"/>
      <c r="K944" s="69"/>
      <c r="L944" s="70"/>
      <c r="M944" s="70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spans="1:26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8"/>
      <c r="K945" s="69"/>
      <c r="L945" s="70"/>
      <c r="M945" s="70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spans="1:2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8"/>
      <c r="K946" s="69"/>
      <c r="L946" s="70"/>
      <c r="M946" s="70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spans="1:26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8"/>
      <c r="K947" s="69"/>
      <c r="L947" s="70"/>
      <c r="M947" s="70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spans="1:26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8"/>
      <c r="K948" s="69"/>
      <c r="L948" s="70"/>
      <c r="M948" s="70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spans="1:26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8"/>
      <c r="K949" s="69"/>
      <c r="L949" s="70"/>
      <c r="M949" s="70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spans="1:26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8"/>
      <c r="K950" s="69"/>
      <c r="L950" s="70"/>
      <c r="M950" s="70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spans="1:26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8"/>
      <c r="K951" s="69"/>
      <c r="L951" s="70"/>
      <c r="M951" s="70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spans="1:26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8"/>
      <c r="K952" s="69"/>
      <c r="L952" s="70"/>
      <c r="M952" s="70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spans="1:26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8"/>
      <c r="K953" s="69"/>
      <c r="L953" s="70"/>
      <c r="M953" s="70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spans="1:26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8"/>
      <c r="K954" s="69"/>
      <c r="L954" s="70"/>
      <c r="M954" s="70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spans="1:26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8"/>
      <c r="K955" s="69"/>
      <c r="L955" s="70"/>
      <c r="M955" s="70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spans="1:2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8"/>
      <c r="K956" s="69"/>
      <c r="L956" s="70"/>
      <c r="M956" s="70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spans="1:26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8"/>
      <c r="K957" s="69"/>
      <c r="L957" s="70"/>
      <c r="M957" s="70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spans="1:26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8"/>
      <c r="K958" s="69"/>
      <c r="L958" s="70"/>
      <c r="M958" s="70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spans="1:26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8"/>
      <c r="K959" s="69"/>
      <c r="L959" s="70"/>
      <c r="M959" s="70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spans="1:26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8"/>
      <c r="K960" s="69"/>
      <c r="L960" s="70"/>
      <c r="M960" s="70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spans="1:26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8"/>
      <c r="K961" s="69"/>
      <c r="L961" s="70"/>
      <c r="M961" s="70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spans="1:26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8"/>
      <c r="K962" s="69"/>
      <c r="L962" s="70"/>
      <c r="M962" s="70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spans="1:26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8"/>
      <c r="K963" s="69"/>
      <c r="L963" s="70"/>
      <c r="M963" s="70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spans="1:26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8"/>
      <c r="K964" s="69"/>
      <c r="L964" s="70"/>
      <c r="M964" s="70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spans="1:26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8"/>
      <c r="K965" s="69"/>
      <c r="L965" s="70"/>
      <c r="M965" s="70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spans="1:2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8"/>
      <c r="K966" s="69"/>
      <c r="L966" s="70"/>
      <c r="M966" s="70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spans="1:26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8"/>
      <c r="K967" s="69"/>
      <c r="L967" s="70"/>
      <c r="M967" s="70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spans="1:26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8"/>
      <c r="K968" s="69"/>
      <c r="L968" s="70"/>
      <c r="M968" s="70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spans="1:26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8"/>
      <c r="K969" s="69"/>
      <c r="L969" s="70"/>
      <c r="M969" s="70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spans="1:26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8"/>
      <c r="K970" s="69"/>
      <c r="L970" s="70"/>
      <c r="M970" s="70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spans="1:26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8"/>
      <c r="K971" s="69"/>
      <c r="L971" s="70"/>
      <c r="M971" s="70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spans="1:26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8"/>
      <c r="K972" s="69"/>
      <c r="L972" s="70"/>
      <c r="M972" s="70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spans="1:26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8"/>
      <c r="K973" s="69"/>
      <c r="L973" s="70"/>
      <c r="M973" s="70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spans="1:26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8"/>
      <c r="K974" s="69"/>
      <c r="L974" s="70"/>
      <c r="M974" s="70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spans="1:26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8"/>
      <c r="K975" s="69"/>
      <c r="L975" s="70"/>
      <c r="M975" s="70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spans="1:2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8"/>
      <c r="K976" s="69"/>
      <c r="L976" s="70"/>
      <c r="M976" s="70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spans="1:26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8"/>
      <c r="K977" s="69"/>
      <c r="L977" s="70"/>
      <c r="M977" s="70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spans="1:26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8"/>
      <c r="K978" s="69"/>
      <c r="L978" s="70"/>
      <c r="M978" s="70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spans="1:26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8"/>
      <c r="K979" s="69"/>
      <c r="L979" s="70"/>
      <c r="M979" s="70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spans="1:26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8"/>
      <c r="K980" s="69"/>
      <c r="L980" s="70"/>
      <c r="M980" s="70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spans="1:26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8"/>
      <c r="K981" s="69"/>
      <c r="L981" s="70"/>
      <c r="M981" s="70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spans="1:26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8"/>
      <c r="K982" s="69"/>
      <c r="L982" s="70"/>
      <c r="M982" s="70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spans="1:26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8"/>
      <c r="K983" s="69"/>
      <c r="L983" s="70"/>
      <c r="M983" s="70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spans="1:26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8"/>
      <c r="K984" s="69"/>
      <c r="L984" s="70"/>
      <c r="M984" s="70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spans="1:26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8"/>
      <c r="K985" s="69"/>
      <c r="L985" s="70"/>
      <c r="M985" s="70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spans="1:2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8"/>
      <c r="K986" s="69"/>
      <c r="L986" s="70"/>
      <c r="M986" s="70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spans="1:26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8"/>
      <c r="K987" s="69"/>
      <c r="L987" s="70"/>
      <c r="M987" s="70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spans="1:26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8"/>
      <c r="K988" s="69"/>
      <c r="L988" s="70"/>
      <c r="M988" s="70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spans="1:26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8"/>
      <c r="K989" s="69"/>
      <c r="L989" s="70"/>
      <c r="M989" s="70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spans="1:26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8"/>
      <c r="K990" s="69"/>
      <c r="L990" s="70"/>
      <c r="M990" s="70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spans="1:26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8"/>
      <c r="K991" s="69"/>
      <c r="L991" s="70"/>
      <c r="M991" s="70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spans="1:26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8"/>
      <c r="K992" s="69"/>
      <c r="L992" s="70"/>
      <c r="M992" s="70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spans="1:26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8"/>
      <c r="K993" s="69"/>
      <c r="L993" s="70"/>
      <c r="M993" s="70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spans="1:26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8"/>
      <c r="K994" s="69"/>
      <c r="L994" s="70"/>
      <c r="M994" s="70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spans="1:26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8"/>
      <c r="K995" s="69"/>
      <c r="L995" s="70"/>
      <c r="M995" s="70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spans="1:2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8"/>
      <c r="K996" s="69"/>
      <c r="L996" s="70"/>
      <c r="M996" s="70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spans="1:26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8"/>
      <c r="K997" s="69"/>
      <c r="L997" s="70"/>
      <c r="M997" s="70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spans="1:26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8"/>
      <c r="K998" s="69"/>
      <c r="L998" s="70"/>
      <c r="M998" s="70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spans="1:26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8"/>
      <c r="K999" s="69"/>
      <c r="L999" s="70"/>
      <c r="M999" s="70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spans="1:26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8"/>
      <c r="K1000" s="69"/>
      <c r="L1000" s="70"/>
      <c r="M1000" s="70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10">
    <mergeCell ref="E8:F8"/>
    <mergeCell ref="G8:H8"/>
    <mergeCell ref="B33:H33"/>
    <mergeCell ref="M3:O3"/>
    <mergeCell ref="J4:O4"/>
    <mergeCell ref="L5:O5"/>
    <mergeCell ref="B6:H6"/>
    <mergeCell ref="J6:O6"/>
    <mergeCell ref="G7:H7"/>
    <mergeCell ref="C8:D8"/>
  </mergeCells>
  <conditionalFormatting sqref="C30:C31 E30:E31 G30:G31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C45 E45 G45">
    <cfRule type="cellIs" dxfId="0" priority="1" operator="lessThan">
      <formula>0</formula>
    </cfRule>
  </conditionalFormatting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1000"/>
  <sheetViews>
    <sheetView showGridLines="0" tabSelected="1" workbookViewId="0">
      <selection activeCell="F5" sqref="F5"/>
    </sheetView>
  </sheetViews>
  <sheetFormatPr baseColWidth="10" defaultColWidth="11.25" defaultRowHeight="15" customHeight="1"/>
  <cols>
    <col min="1" max="1" width="10.5" customWidth="1"/>
    <col min="2" max="2" width="36.625" customWidth="1"/>
    <col min="3" max="3" width="13.375" customWidth="1"/>
    <col min="4" max="5" width="14.5" customWidth="1"/>
    <col min="6" max="6" width="14" customWidth="1"/>
    <col min="7" max="26" width="10.5" customWidth="1"/>
  </cols>
  <sheetData>
    <row r="1" spans="2:19" ht="15.75" customHeight="1"/>
    <row r="2" spans="2:19" ht="15.75" customHeight="1">
      <c r="B2" s="217" t="s">
        <v>146</v>
      </c>
      <c r="C2" s="148"/>
      <c r="D2" s="148"/>
      <c r="E2" s="148"/>
      <c r="F2" s="149"/>
      <c r="H2" s="217" t="s">
        <v>147</v>
      </c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9"/>
    </row>
    <row r="3" spans="2:19" ht="15.75" customHeight="1">
      <c r="B3" s="59"/>
      <c r="C3" s="59"/>
      <c r="D3" s="59"/>
      <c r="E3" s="59"/>
      <c r="F3" s="67"/>
    </row>
    <row r="4" spans="2:19" ht="15.75" customHeight="1">
      <c r="B4" s="66"/>
      <c r="C4" s="107">
        <f>'Estados Financieros'!C8</f>
        <v>43830</v>
      </c>
      <c r="D4" s="107">
        <f>'Estados Financieros'!E8</f>
        <v>44196</v>
      </c>
      <c r="E4" s="107">
        <f>'Estados Financieros'!G8</f>
        <v>44377</v>
      </c>
      <c r="F4" s="66"/>
    </row>
    <row r="5" spans="2:19" ht="15.75" customHeight="1">
      <c r="B5" s="108" t="s">
        <v>148</v>
      </c>
      <c r="C5" s="109"/>
      <c r="D5" s="109"/>
      <c r="E5" s="109"/>
      <c r="F5" s="56" t="s">
        <v>203</v>
      </c>
    </row>
    <row r="6" spans="2:19" ht="15.75" customHeight="1">
      <c r="B6" s="86" t="s">
        <v>149</v>
      </c>
      <c r="C6" s="81"/>
      <c r="D6" s="81"/>
      <c r="E6" s="81"/>
      <c r="F6" s="67"/>
    </row>
    <row r="7" spans="2:19" ht="15.75" customHeight="1">
      <c r="B7" s="13" t="s">
        <v>150</v>
      </c>
      <c r="C7" s="110" t="e">
        <f>'Estados Financieros'!C10/'Estados Financieros'!C21</f>
        <v>#DIV/0!</v>
      </c>
      <c r="D7" s="110" t="e">
        <f>'Estados Financieros'!E10/'Estados Financieros'!E21</f>
        <v>#DIV/0!</v>
      </c>
      <c r="E7" s="110" t="e">
        <f>'Estados Financieros'!G10/'Estados Financieros'!G21</f>
        <v>#DIV/0!</v>
      </c>
      <c r="F7" s="67" t="s">
        <v>192</v>
      </c>
    </row>
    <row r="8" spans="2:19" ht="15.75" customHeight="1">
      <c r="B8" s="13" t="s">
        <v>151</v>
      </c>
      <c r="C8" s="110" t="e">
        <f>('Estados Financieros'!C10-'Estados Financieros'!C11)/'Estados Financieros'!C21</f>
        <v>#DIV/0!</v>
      </c>
      <c r="D8" s="110" t="e">
        <f>('Estados Financieros'!E10-'Estados Financieros'!E11)/'Estados Financieros'!E21</f>
        <v>#DIV/0!</v>
      </c>
      <c r="E8" s="110" t="e">
        <f>('Estados Financieros'!G10-'Estados Financieros'!G11)/'Estados Financieros'!G21</f>
        <v>#DIV/0!</v>
      </c>
      <c r="F8" s="67" t="s">
        <v>193</v>
      </c>
    </row>
    <row r="9" spans="2:19" ht="15.75" customHeight="1">
      <c r="B9" s="86" t="s">
        <v>152</v>
      </c>
      <c r="C9" s="110"/>
      <c r="D9" s="81"/>
      <c r="E9" s="111"/>
      <c r="F9" s="67"/>
    </row>
    <row r="10" spans="2:19" ht="15.75" customHeight="1">
      <c r="B10" s="13" t="s">
        <v>153</v>
      </c>
      <c r="C10" s="112" t="e">
        <f>365/('Estados Financieros'!C34/'Estados Financieros'!C12)</f>
        <v>#DIV/0!</v>
      </c>
      <c r="D10" s="112" t="e">
        <f>365/('Estados Financieros'!E34/'Estados Financieros'!E12)</f>
        <v>#DIV/0!</v>
      </c>
      <c r="E10" s="112" t="e">
        <f>('Estados Financieros'!G7*30)/('Estados Financieros'!G34/'Estados Financieros'!G12)</f>
        <v>#DIV/0!</v>
      </c>
      <c r="F10" s="110" t="s">
        <v>194</v>
      </c>
    </row>
    <row r="11" spans="2:19" ht="15.75" customHeight="1">
      <c r="B11" s="13" t="s">
        <v>154</v>
      </c>
      <c r="C11" s="112" t="e">
        <f>('Estados Financieros'!C22/'Estados Financieros'!C35)*365</f>
        <v>#DIV/0!</v>
      </c>
      <c r="D11" s="112" t="e">
        <f>('Estados Financieros'!E22/'Estados Financieros'!E35)*365</f>
        <v>#DIV/0!</v>
      </c>
      <c r="E11" s="112" t="e">
        <f>('Estados Financieros'!G22/'Estados Financieros'!G35)*('Estados Financieros'!G7*30)</f>
        <v>#DIV/0!</v>
      </c>
      <c r="F11" s="67" t="s">
        <v>195</v>
      </c>
    </row>
    <row r="12" spans="2:19" ht="15.75" customHeight="1">
      <c r="B12" s="13" t="s">
        <v>155</v>
      </c>
      <c r="C12" s="112" t="e">
        <f>('Estados Financieros'!C11/'Estados Financieros'!C35)*365</f>
        <v>#DIV/0!</v>
      </c>
      <c r="D12" s="112" t="e">
        <f>('Estados Financieros'!E11/'Estados Financieros'!E35)*365</f>
        <v>#DIV/0!</v>
      </c>
      <c r="E12" s="112" t="e">
        <f>('Estados Financieros'!G11/'Estados Financieros'!G35)*('Estados Financieros'!G7*30)</f>
        <v>#DIV/0!</v>
      </c>
      <c r="F12" s="67" t="s">
        <v>196</v>
      </c>
    </row>
    <row r="13" spans="2:19" ht="15.75" customHeight="1">
      <c r="B13" s="86" t="s">
        <v>156</v>
      </c>
      <c r="C13" s="81"/>
      <c r="D13" s="81"/>
      <c r="E13" s="111"/>
      <c r="F13" s="67"/>
    </row>
    <row r="14" spans="2:19" ht="15.75" customHeight="1">
      <c r="B14" s="13" t="s">
        <v>157</v>
      </c>
      <c r="C14" s="113" t="e">
        <f>'Estados Financieros'!C28/'Estados Financieros'!C20</f>
        <v>#DIV/0!</v>
      </c>
      <c r="D14" s="113" t="e">
        <f>'Estados Financieros'!E28/'Estados Financieros'!E20</f>
        <v>#DIV/0!</v>
      </c>
      <c r="E14" s="113" t="e">
        <f>'Estados Financieros'!G28/'Estados Financieros'!G20</f>
        <v>#DIV/0!</v>
      </c>
      <c r="F14" s="67" t="s">
        <v>197</v>
      </c>
    </row>
    <row r="15" spans="2:19" ht="15.75" customHeight="1">
      <c r="B15" s="114" t="s">
        <v>158</v>
      </c>
      <c r="C15" s="115" t="e">
        <f>C14</f>
        <v>#DIV/0!</v>
      </c>
      <c r="D15" s="115" t="e">
        <f t="shared" ref="C15:D15" si="0">D14</f>
        <v>#DIV/0!</v>
      </c>
      <c r="E15" s="113" t="e">
        <f>('Estados Financieros'!G28+'Estados Financieros'!L5)/'Estados Financieros'!G20</f>
        <v>#DIV/0!</v>
      </c>
      <c r="F15" s="67"/>
    </row>
    <row r="16" spans="2:19" ht="15.75" customHeight="1">
      <c r="B16" s="13" t="s">
        <v>159</v>
      </c>
      <c r="C16" s="116" t="e">
        <f>'Estados Financieros'!C28/'Estados Financieros'!C31</f>
        <v>#DIV/0!</v>
      </c>
      <c r="D16" s="116" t="e">
        <f>'Estados Financieros'!E28/'Estados Financieros'!E31</f>
        <v>#DIV/0!</v>
      </c>
      <c r="E16" s="116" t="e">
        <f>'Estados Financieros'!G28/'Estados Financieros'!G31</f>
        <v>#DIV/0!</v>
      </c>
      <c r="F16" s="67" t="s">
        <v>198</v>
      </c>
    </row>
    <row r="17" spans="2:19" ht="15.75" customHeight="1">
      <c r="B17" s="13" t="s">
        <v>160</v>
      </c>
      <c r="C17" s="113" t="e">
        <f>'Estados Financieros'!C25/('Estados Financieros'!C20-'Estados Financieros'!C28)</f>
        <v>#DIV/0!</v>
      </c>
      <c r="D17" s="113" t="e">
        <f>'Estados Financieros'!E25/('Estados Financieros'!E20-'Estados Financieros'!E28)</f>
        <v>#DIV/0!</v>
      </c>
      <c r="E17" s="113" t="e">
        <f>'Estados Financieros'!G25/('Estados Financieros'!G20-'Estados Financieros'!G28)</f>
        <v>#DIV/0!</v>
      </c>
      <c r="F17" s="67" t="s">
        <v>199</v>
      </c>
    </row>
    <row r="18" spans="2:19" ht="15.75" customHeight="1">
      <c r="B18" s="86" t="s">
        <v>161</v>
      </c>
      <c r="C18" s="81"/>
      <c r="D18" s="81"/>
      <c r="E18" s="81"/>
      <c r="F18" s="67"/>
    </row>
    <row r="19" spans="2:19" ht="15.75" customHeight="1">
      <c r="B19" s="13" t="s">
        <v>162</v>
      </c>
      <c r="C19" s="117" t="e">
        <f>'Estados Financieros'!C45/'Estados Financieros'!C34</f>
        <v>#DIV/0!</v>
      </c>
      <c r="D19" s="117" t="e">
        <f>'Estados Financieros'!E45/'Estados Financieros'!E34</f>
        <v>#DIV/0!</v>
      </c>
      <c r="E19" s="117" t="e">
        <f>'Estados Financieros'!G45/'Estados Financieros'!G34</f>
        <v>#DIV/0!</v>
      </c>
      <c r="F19" s="67" t="s">
        <v>200</v>
      </c>
    </row>
    <row r="20" spans="2:19" ht="15.75" customHeight="1">
      <c r="B20" s="13" t="s">
        <v>163</v>
      </c>
      <c r="C20" s="117" t="e">
        <f>'Estados Financieros'!C45/'Estados Financieros'!C20</f>
        <v>#DIV/0!</v>
      </c>
      <c r="D20" s="117" t="e">
        <f>'Estados Financieros'!E45/'Estados Financieros'!E20</f>
        <v>#DIV/0!</v>
      </c>
      <c r="E20" s="117" t="e">
        <f>'Estados Financieros'!G45/'Estados Financieros'!G20</f>
        <v>#DIV/0!</v>
      </c>
      <c r="F20" s="67" t="s">
        <v>201</v>
      </c>
    </row>
    <row r="21" spans="2:19" ht="15.75" customHeight="1">
      <c r="B21" s="13" t="s">
        <v>164</v>
      </c>
      <c r="C21" s="117" t="e">
        <f>'Estados Financieros'!C45/'Estados Financieros'!C31</f>
        <v>#DIV/0!</v>
      </c>
      <c r="D21" s="117" t="e">
        <f>'Estados Financieros'!E45/'Estados Financieros'!E31</f>
        <v>#DIV/0!</v>
      </c>
      <c r="E21" s="117" t="e">
        <f>'Estados Financieros'!G45/'Estados Financieros'!G31</f>
        <v>#DIV/0!</v>
      </c>
      <c r="F21" s="67" t="s">
        <v>202</v>
      </c>
    </row>
    <row r="22" spans="2:19" ht="15.75" customHeight="1">
      <c r="B22" s="67"/>
      <c r="C22" s="81"/>
      <c r="D22" s="67"/>
      <c r="E22" s="67"/>
      <c r="F22" s="67"/>
    </row>
    <row r="23" spans="2:19" ht="15.75" customHeight="1">
      <c r="B23" s="217" t="s">
        <v>165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9"/>
    </row>
    <row r="24" spans="2:19" ht="15.75" customHeight="1">
      <c r="B24" s="67"/>
      <c r="C24" s="67"/>
      <c r="D24" s="67"/>
      <c r="E24" s="67"/>
      <c r="F24" s="67"/>
    </row>
    <row r="25" spans="2:19" ht="15.75" customHeight="1">
      <c r="B25" s="118" t="s">
        <v>191</v>
      </c>
      <c r="C25" s="118" t="s">
        <v>191</v>
      </c>
      <c r="D25" s="118" t="s">
        <v>191</v>
      </c>
      <c r="E25" s="118" t="s">
        <v>191</v>
      </c>
      <c r="F25" s="118" t="s">
        <v>191</v>
      </c>
    </row>
    <row r="26" spans="2:19" ht="15.75" customHeight="1">
      <c r="B26" s="14">
        <f>Flujos!B6</f>
        <v>2020</v>
      </c>
      <c r="C26" s="14" t="str">
        <f>Flujos!C6</f>
        <v>Enero</v>
      </c>
      <c r="D26" s="99">
        <f>Flujos!L44</f>
        <v>0</v>
      </c>
      <c r="E26" s="99">
        <f>Flujos!M44</f>
        <v>0</v>
      </c>
      <c r="F26" s="99">
        <f>Flujos!N44</f>
        <v>0</v>
      </c>
    </row>
    <row r="27" spans="2:19" ht="15.75" customHeight="1">
      <c r="B27" s="14">
        <f>Flujos!B7</f>
        <v>2020</v>
      </c>
      <c r="C27" s="14" t="str">
        <f>Flujos!C7</f>
        <v>Febrero</v>
      </c>
      <c r="D27" s="99">
        <f>Flujos!L45</f>
        <v>0</v>
      </c>
      <c r="E27" s="99">
        <f>Flujos!M45</f>
        <v>0</v>
      </c>
      <c r="F27" s="99">
        <f>Flujos!N45</f>
        <v>0</v>
      </c>
    </row>
    <row r="28" spans="2:19" ht="15.75" customHeight="1">
      <c r="B28" s="14">
        <f>Flujos!B8</f>
        <v>2020</v>
      </c>
      <c r="C28" s="14" t="str">
        <f>Flujos!C8</f>
        <v>Marzo</v>
      </c>
      <c r="D28" s="99">
        <f>Flujos!L46</f>
        <v>0</v>
      </c>
      <c r="E28" s="99">
        <f>Flujos!M46</f>
        <v>0</v>
      </c>
      <c r="F28" s="99">
        <f>Flujos!N46</f>
        <v>0</v>
      </c>
    </row>
    <row r="29" spans="2:19" ht="15.75" customHeight="1">
      <c r="B29" s="14">
        <f>Flujos!B9</f>
        <v>2020</v>
      </c>
      <c r="C29" s="14" t="str">
        <f>Flujos!C9</f>
        <v>Abril</v>
      </c>
      <c r="D29" s="99">
        <f>Flujos!L47</f>
        <v>0</v>
      </c>
      <c r="E29" s="99">
        <f>Flujos!M47</f>
        <v>0</v>
      </c>
      <c r="F29" s="99">
        <f>Flujos!N47</f>
        <v>0</v>
      </c>
    </row>
    <row r="30" spans="2:19" ht="15.75" customHeight="1">
      <c r="B30" s="14">
        <f>Flujos!B10</f>
        <v>2020</v>
      </c>
      <c r="C30" s="14" t="str">
        <f>Flujos!C10</f>
        <v>Mayo</v>
      </c>
      <c r="D30" s="99">
        <f>Flujos!L48</f>
        <v>0</v>
      </c>
      <c r="E30" s="99">
        <f>Flujos!M48</f>
        <v>0</v>
      </c>
      <c r="F30" s="99">
        <f>Flujos!N48</f>
        <v>0</v>
      </c>
    </row>
    <row r="31" spans="2:19" ht="15.75" customHeight="1">
      <c r="B31" s="14">
        <f>Flujos!B11</f>
        <v>2020</v>
      </c>
      <c r="C31" s="14" t="str">
        <f>Flujos!C11</f>
        <v>Junio</v>
      </c>
      <c r="D31" s="99">
        <f>Flujos!L49</f>
        <v>0</v>
      </c>
      <c r="E31" s="99">
        <f>Flujos!M49</f>
        <v>0</v>
      </c>
      <c r="F31" s="99">
        <f>Flujos!N49</f>
        <v>0</v>
      </c>
    </row>
    <row r="32" spans="2:19" ht="15.75" customHeight="1">
      <c r="B32" s="14">
        <f>Flujos!B12</f>
        <v>2020</v>
      </c>
      <c r="C32" s="14" t="str">
        <f>Flujos!C12</f>
        <v>Julio</v>
      </c>
      <c r="D32" s="99">
        <f>Flujos!L50</f>
        <v>0</v>
      </c>
      <c r="E32" s="99">
        <f>Flujos!M50</f>
        <v>0</v>
      </c>
      <c r="F32" s="99">
        <f>Flujos!N50</f>
        <v>0</v>
      </c>
    </row>
    <row r="33" spans="2:6" ht="15.75" customHeight="1">
      <c r="B33" s="14">
        <f>Flujos!B13</f>
        <v>2020</v>
      </c>
      <c r="C33" s="14" t="str">
        <f>Flujos!C13</f>
        <v>Agosto</v>
      </c>
      <c r="D33" s="99">
        <f>Flujos!L51</f>
        <v>0</v>
      </c>
      <c r="E33" s="99">
        <f>Flujos!M51</f>
        <v>0</v>
      </c>
      <c r="F33" s="99">
        <f>Flujos!N51</f>
        <v>0</v>
      </c>
    </row>
    <row r="34" spans="2:6" ht="15.75" customHeight="1">
      <c r="B34" s="14">
        <f>Flujos!B14</f>
        <v>2020</v>
      </c>
      <c r="C34" s="14" t="str">
        <f>Flujos!C14</f>
        <v>Septiembre</v>
      </c>
      <c r="D34" s="99">
        <f>Flujos!L52</f>
        <v>0</v>
      </c>
      <c r="E34" s="99">
        <f>Flujos!M52</f>
        <v>0</v>
      </c>
      <c r="F34" s="99">
        <f>Flujos!N52</f>
        <v>0</v>
      </c>
    </row>
    <row r="35" spans="2:6" ht="15.75" customHeight="1">
      <c r="B35" s="14">
        <f>Flujos!B15</f>
        <v>2020</v>
      </c>
      <c r="C35" s="14" t="str">
        <f>Flujos!C15</f>
        <v>Octubre</v>
      </c>
      <c r="D35" s="99">
        <f>Flujos!L53</f>
        <v>0</v>
      </c>
      <c r="E35" s="99">
        <f>Flujos!M53</f>
        <v>0</v>
      </c>
      <c r="F35" s="99">
        <f>Flujos!N53</f>
        <v>0</v>
      </c>
    </row>
    <row r="36" spans="2:6" ht="15.75" customHeight="1">
      <c r="B36" s="14">
        <f>Flujos!B16</f>
        <v>2020</v>
      </c>
      <c r="C36" s="14" t="str">
        <f>Flujos!C16</f>
        <v>Noviembre</v>
      </c>
      <c r="D36" s="99">
        <f>Flujos!L54</f>
        <v>0</v>
      </c>
      <c r="E36" s="99">
        <f>Flujos!M54</f>
        <v>0</v>
      </c>
      <c r="F36" s="99">
        <f>Flujos!N54</f>
        <v>0</v>
      </c>
    </row>
    <row r="37" spans="2:6" ht="15.75" customHeight="1">
      <c r="B37" s="14">
        <f>Flujos!B17</f>
        <v>2020</v>
      </c>
      <c r="C37" s="14" t="str">
        <f>Flujos!C17</f>
        <v>Diciembre</v>
      </c>
      <c r="D37" s="99">
        <f>Flujos!L55</f>
        <v>0</v>
      </c>
      <c r="E37" s="99">
        <f>Flujos!M55</f>
        <v>0</v>
      </c>
      <c r="F37" s="99">
        <f>Flujos!N55</f>
        <v>0</v>
      </c>
    </row>
    <row r="38" spans="2:6" ht="15.75" customHeight="1">
      <c r="C38" s="55" t="s">
        <v>166</v>
      </c>
      <c r="D38" s="119">
        <f t="shared" ref="D38:F38" si="1">SUM(D26:D37)</f>
        <v>0</v>
      </c>
      <c r="E38" s="119">
        <f t="shared" si="1"/>
        <v>0</v>
      </c>
      <c r="F38" s="119">
        <f t="shared" si="1"/>
        <v>0</v>
      </c>
    </row>
    <row r="39" spans="2:6" ht="15.75" hidden="1" customHeight="1">
      <c r="B39" s="118" t="s">
        <v>167</v>
      </c>
      <c r="C39" s="118"/>
      <c r="D39" s="118"/>
      <c r="E39" s="118"/>
      <c r="F39" s="118"/>
    </row>
    <row r="40" spans="2:6" ht="15.75" hidden="1" customHeight="1">
      <c r="B40" s="118"/>
      <c r="C40" s="118"/>
      <c r="D40" s="118"/>
      <c r="E40" s="118"/>
      <c r="F40" s="118"/>
    </row>
    <row r="41" spans="2:6" ht="15.75" hidden="1" customHeight="1">
      <c r="B41" t="s">
        <v>168</v>
      </c>
      <c r="C41" s="14" t="e">
        <f>(('Estados Financieros'!C31+'Estados Financieros'!C29+'Estados Financieros'!E31+'Estados Financieros'!E29)+'Estados Financieros'!C47/2)*0.25</f>
        <v>#VALUE!</v>
      </c>
      <c r="D41" s="99"/>
      <c r="E41" s="99"/>
      <c r="F41" s="99"/>
    </row>
    <row r="42" spans="2:6" ht="15.75" hidden="1" customHeight="1">
      <c r="B42" t="s">
        <v>169</v>
      </c>
      <c r="C42" s="99">
        <f>('Estados Financieros'!G34/'Estados Financieros'!G7)*3</f>
        <v>0</v>
      </c>
      <c r="D42" s="99"/>
      <c r="E42" s="99"/>
      <c r="F42" s="99"/>
    </row>
    <row r="43" spans="2:6" ht="15.75" hidden="1" customHeight="1">
      <c r="B43" t="s">
        <v>170</v>
      </c>
      <c r="C43" s="99">
        <f>('Estados Financieros'!G31+'Estados Financieros'!G29-'Estados Financieros'!G28)*0.85</f>
        <v>0</v>
      </c>
      <c r="D43" s="99"/>
      <c r="E43" s="99"/>
      <c r="F43" s="99"/>
    </row>
    <row r="44" spans="2:6" ht="15.75" hidden="1" customHeight="1">
      <c r="B44" t="s">
        <v>171</v>
      </c>
      <c r="C44" s="99">
        <f>AVERAGE(D26:D37)*2</f>
        <v>0</v>
      </c>
      <c r="D44" s="99"/>
      <c r="E44" s="99"/>
      <c r="F44" s="99"/>
    </row>
    <row r="45" spans="2:6" ht="15.75" hidden="1" customHeight="1">
      <c r="B45" s="67"/>
      <c r="C45" s="81"/>
      <c r="D45" s="67"/>
      <c r="E45" s="67"/>
      <c r="F45" s="67"/>
    </row>
    <row r="46" spans="2:6" ht="15.75" customHeight="1"/>
    <row r="47" spans="2:6" ht="15.75" customHeight="1"/>
    <row r="48" spans="2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F2"/>
    <mergeCell ref="H2:S2"/>
    <mergeCell ref="B23:S23"/>
  </mergeCells>
  <pageMargins left="0.7" right="0.7" top="0.75" bottom="0.75" header="0" footer="0"/>
  <pageSetup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1.25" defaultRowHeight="15" customHeight="1"/>
  <cols>
    <col min="1" max="1" width="0.75" customWidth="1"/>
    <col min="2" max="2" width="15.5" customWidth="1"/>
    <col min="3" max="3" width="14" customWidth="1"/>
    <col min="4" max="4" width="15.375" customWidth="1"/>
    <col min="5" max="9" width="10.75" customWidth="1"/>
    <col min="10" max="10" width="15.5" customWidth="1"/>
    <col min="11" max="11" width="0.75" customWidth="1"/>
    <col min="12" max="17" width="10.75" customWidth="1"/>
    <col min="18" max="26" width="10.5" customWidth="1"/>
  </cols>
  <sheetData>
    <row r="1" spans="1:26" ht="16.5" customHeight="1">
      <c r="A1" s="120"/>
      <c r="B1" s="71"/>
      <c r="C1" s="71"/>
      <c r="D1" s="71"/>
      <c r="E1" s="71"/>
      <c r="F1" s="71"/>
      <c r="G1" s="71"/>
      <c r="H1" s="71"/>
      <c r="I1" s="71"/>
      <c r="J1" s="121">
        <f ca="1">TODAY()</f>
        <v>46084</v>
      </c>
      <c r="K1" s="73"/>
      <c r="L1" s="72"/>
      <c r="M1" s="72"/>
      <c r="N1" s="74"/>
      <c r="O1" s="74"/>
      <c r="P1" s="74"/>
      <c r="Q1" s="74"/>
      <c r="R1" s="120"/>
      <c r="S1" s="120"/>
      <c r="T1" s="120"/>
      <c r="U1" s="120"/>
      <c r="V1" s="120"/>
      <c r="W1" s="120"/>
      <c r="X1" s="120"/>
      <c r="Y1" s="120"/>
      <c r="Z1" s="120"/>
    </row>
    <row r="2" spans="1:26" ht="31.5" customHeight="1">
      <c r="A2" s="120"/>
      <c r="B2" s="71"/>
      <c r="C2" s="71"/>
      <c r="D2" s="71"/>
      <c r="E2" s="71"/>
      <c r="F2" s="71"/>
      <c r="G2" s="71"/>
      <c r="H2" s="71"/>
      <c r="I2" s="120"/>
      <c r="J2" s="122" t="str">
        <f>'Check List'!B2</f>
        <v>CLIENTE</v>
      </c>
      <c r="K2" s="76"/>
      <c r="L2" s="76"/>
      <c r="M2" s="120"/>
      <c r="N2" s="120"/>
      <c r="O2" s="120"/>
      <c r="P2" s="74"/>
      <c r="Q2" s="74"/>
      <c r="R2" s="120"/>
      <c r="S2" s="120"/>
      <c r="T2" s="120"/>
      <c r="U2" s="120"/>
      <c r="V2" s="120"/>
      <c r="W2" s="120"/>
      <c r="X2" s="120"/>
      <c r="Y2" s="120"/>
      <c r="Z2" s="120"/>
    </row>
    <row r="3" spans="1:26" ht="21" customHeight="1">
      <c r="A3" s="120"/>
      <c r="B3" s="71"/>
      <c r="C3" s="71"/>
      <c r="D3" s="71"/>
      <c r="E3" s="71"/>
      <c r="F3" s="71"/>
      <c r="G3" s="71"/>
      <c r="H3" s="71"/>
      <c r="I3" s="71"/>
      <c r="J3" s="123" t="s">
        <v>172</v>
      </c>
      <c r="K3" s="9"/>
      <c r="L3" s="9"/>
      <c r="M3" s="9"/>
      <c r="N3" s="9"/>
      <c r="O3" s="9"/>
      <c r="P3" s="74"/>
      <c r="Q3" s="74"/>
      <c r="R3" s="120"/>
      <c r="S3" s="120"/>
      <c r="T3" s="120"/>
      <c r="U3" s="120"/>
      <c r="V3" s="120"/>
      <c r="W3" s="120"/>
      <c r="X3" s="120"/>
      <c r="Y3" s="120"/>
      <c r="Z3" s="120"/>
    </row>
    <row r="4" spans="1:26" ht="13.5" customHeight="1">
      <c r="A4" s="120"/>
      <c r="B4" s="71"/>
      <c r="C4" s="71"/>
      <c r="D4" s="71"/>
      <c r="E4" s="71"/>
      <c r="F4" s="71"/>
      <c r="G4" s="71"/>
      <c r="H4" s="71"/>
      <c r="I4" s="71"/>
      <c r="J4" s="124"/>
      <c r="K4" s="125"/>
      <c r="L4" s="126"/>
      <c r="M4" s="126"/>
      <c r="N4" s="126"/>
      <c r="O4" s="126"/>
      <c r="P4" s="74"/>
      <c r="Q4" s="74"/>
      <c r="R4" s="120"/>
      <c r="S4" s="120"/>
      <c r="T4" s="120"/>
      <c r="U4" s="120"/>
      <c r="V4" s="120"/>
      <c r="W4" s="120"/>
      <c r="X4" s="120"/>
      <c r="Y4" s="120"/>
      <c r="Z4" s="120"/>
    </row>
    <row r="5" spans="1:26" ht="18" customHeight="1">
      <c r="A5" s="120"/>
      <c r="B5" s="219" t="s">
        <v>24</v>
      </c>
      <c r="C5" s="138"/>
      <c r="D5" s="138"/>
      <c r="E5" s="138"/>
      <c r="F5" s="138"/>
      <c r="G5" s="138"/>
      <c r="H5" s="138"/>
      <c r="I5" s="138"/>
      <c r="J5" s="140"/>
      <c r="K5" s="125"/>
      <c r="L5" s="126"/>
      <c r="M5" s="126"/>
      <c r="N5" s="126"/>
      <c r="O5" s="126"/>
      <c r="P5" s="74"/>
      <c r="Q5" s="74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4.5" customHeight="1">
      <c r="A6" s="120"/>
      <c r="B6" s="127"/>
      <c r="C6" s="127"/>
      <c r="D6" s="127"/>
      <c r="E6" s="127"/>
      <c r="F6" s="127"/>
      <c r="G6" s="127"/>
      <c r="H6" s="127"/>
      <c r="I6" s="127"/>
      <c r="J6" s="127"/>
      <c r="K6" s="125"/>
      <c r="L6" s="126"/>
      <c r="M6" s="126"/>
      <c r="N6" s="126"/>
      <c r="O6" s="126"/>
      <c r="P6" s="74"/>
      <c r="Q6" s="74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30.75" customHeight="1">
      <c r="A7" s="120"/>
      <c r="B7" s="128" t="s">
        <v>173</v>
      </c>
      <c r="C7" s="129" t="s">
        <v>174</v>
      </c>
      <c r="D7" s="128" t="s">
        <v>175</v>
      </c>
      <c r="E7" s="220" t="s">
        <v>176</v>
      </c>
      <c r="F7" s="154"/>
      <c r="G7" s="154"/>
      <c r="H7" s="154"/>
      <c r="I7" s="154"/>
      <c r="J7" s="160"/>
      <c r="K7" s="125"/>
      <c r="L7" s="126"/>
      <c r="M7" s="126"/>
      <c r="N7" s="126"/>
      <c r="O7" s="126"/>
      <c r="P7" s="74"/>
      <c r="Q7" s="74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24.75" customHeight="1">
      <c r="A8" s="120"/>
      <c r="B8" s="6" t="s">
        <v>177</v>
      </c>
      <c r="C8" s="130"/>
      <c r="D8" s="1"/>
      <c r="E8" s="221"/>
      <c r="F8" s="222"/>
      <c r="G8" s="222"/>
      <c r="H8" s="222"/>
      <c r="I8" s="222"/>
      <c r="J8" s="222"/>
      <c r="K8" s="1"/>
      <c r="L8" s="1"/>
      <c r="M8" s="126"/>
      <c r="N8" s="126"/>
      <c r="O8" s="126"/>
      <c r="P8" s="74"/>
      <c r="Q8" s="74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18" customHeight="1">
      <c r="A9" s="120"/>
      <c r="B9" s="131" t="s">
        <v>178</v>
      </c>
      <c r="C9" s="132"/>
      <c r="D9" s="10"/>
      <c r="E9" s="223"/>
      <c r="F9" s="148"/>
      <c r="G9" s="148"/>
      <c r="H9" s="148"/>
      <c r="I9" s="148"/>
      <c r="J9" s="149"/>
      <c r="K9" s="1"/>
      <c r="L9" s="1"/>
      <c r="M9" s="126"/>
      <c r="N9" s="126"/>
      <c r="O9" s="126"/>
      <c r="P9" s="74"/>
      <c r="Q9" s="74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18" customHeight="1">
      <c r="A10" s="120"/>
      <c r="B10" s="6" t="s">
        <v>179</v>
      </c>
      <c r="C10" s="130"/>
      <c r="D10" s="1"/>
      <c r="E10" s="130"/>
      <c r="F10" s="130"/>
      <c r="G10" s="130"/>
      <c r="H10" s="130"/>
      <c r="I10" s="130"/>
      <c r="J10" s="130"/>
      <c r="K10" s="1"/>
      <c r="L10" s="1"/>
      <c r="M10" s="126"/>
      <c r="N10" s="126"/>
      <c r="O10" s="126"/>
      <c r="P10" s="74"/>
      <c r="Q10" s="74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16.5" customHeight="1">
      <c r="A11" s="120"/>
      <c r="B11" s="6"/>
      <c r="C11" s="71"/>
      <c r="D11" s="71"/>
      <c r="E11" s="71"/>
      <c r="F11" s="71"/>
      <c r="G11" s="71"/>
      <c r="H11" s="71"/>
      <c r="I11" s="71"/>
      <c r="J11" s="124"/>
      <c r="K11" s="125"/>
      <c r="L11" s="126"/>
      <c r="M11" s="126"/>
      <c r="N11" s="126"/>
      <c r="O11" s="126"/>
      <c r="P11" s="74"/>
      <c r="Q11" s="74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15.75" customHeight="1">
      <c r="A12" s="1"/>
      <c r="B12" s="219" t="s">
        <v>108</v>
      </c>
      <c r="C12" s="138"/>
      <c r="D12" s="138"/>
      <c r="E12" s="138"/>
      <c r="F12" s="138"/>
      <c r="G12" s="138"/>
      <c r="H12" s="138"/>
      <c r="I12" s="138"/>
      <c r="J12" s="14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6"/>
      <c r="C13" s="224"/>
      <c r="D13" s="136"/>
      <c r="E13" s="136"/>
      <c r="F13" s="136"/>
      <c r="G13" s="136"/>
      <c r="H13" s="136"/>
      <c r="I13" s="136"/>
      <c r="J13" s="13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31"/>
      <c r="C14" s="225"/>
      <c r="D14" s="148"/>
      <c r="E14" s="148"/>
      <c r="F14" s="148"/>
      <c r="G14" s="148"/>
      <c r="H14" s="148"/>
      <c r="I14" s="148"/>
      <c r="J14" s="14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6"/>
      <c r="C15" s="133"/>
      <c r="D15" s="133"/>
      <c r="E15" s="133"/>
      <c r="F15" s="133"/>
      <c r="G15" s="133"/>
      <c r="H15" s="133"/>
      <c r="I15" s="133"/>
      <c r="J15" s="1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31"/>
      <c r="C16" s="225"/>
      <c r="D16" s="148"/>
      <c r="E16" s="148"/>
      <c r="F16" s="148"/>
      <c r="G16" s="148"/>
      <c r="H16" s="148"/>
      <c r="I16" s="148"/>
      <c r="J16" s="14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34"/>
      <c r="C17" s="226"/>
      <c r="D17" s="136"/>
      <c r="E17" s="136"/>
      <c r="F17" s="136"/>
      <c r="G17" s="136"/>
      <c r="H17" s="136"/>
      <c r="I17" s="136"/>
      <c r="J17" s="13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31"/>
      <c r="C18" s="225"/>
      <c r="D18" s="148"/>
      <c r="E18" s="148"/>
      <c r="F18" s="148"/>
      <c r="G18" s="148"/>
      <c r="H18" s="148"/>
      <c r="I18" s="148"/>
      <c r="J18" s="14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19" t="s">
        <v>180</v>
      </c>
      <c r="C21" s="138"/>
      <c r="D21" s="138"/>
      <c r="E21" s="138"/>
      <c r="F21" s="138"/>
      <c r="G21" s="138"/>
      <c r="H21" s="138"/>
      <c r="I21" s="138"/>
      <c r="J21" s="14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>
      <c r="A22" s="1"/>
      <c r="B22" s="6"/>
      <c r="C22" s="227"/>
      <c r="D22" s="145"/>
      <c r="E22" s="145"/>
      <c r="F22" s="145"/>
      <c r="G22" s="145"/>
      <c r="H22" s="145"/>
      <c r="I22" s="145"/>
      <c r="J22" s="14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75" customHeight="1">
      <c r="A23" s="1"/>
      <c r="B23" s="131"/>
      <c r="C23" s="228"/>
      <c r="D23" s="148"/>
      <c r="E23" s="148"/>
      <c r="F23" s="148"/>
      <c r="G23" s="148"/>
      <c r="H23" s="148"/>
      <c r="I23" s="148"/>
      <c r="J23" s="14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19" t="s">
        <v>181</v>
      </c>
      <c r="C26" s="138"/>
      <c r="D26" s="138"/>
      <c r="E26" s="138"/>
      <c r="F26" s="138"/>
      <c r="G26" s="138"/>
      <c r="H26" s="138"/>
      <c r="I26" s="138"/>
      <c r="J26" s="14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19" t="s">
        <v>182</v>
      </c>
      <c r="C28" s="138"/>
      <c r="D28" s="138"/>
      <c r="E28" s="138"/>
      <c r="F28" s="138"/>
      <c r="G28" s="138"/>
      <c r="H28" s="138"/>
      <c r="I28" s="138"/>
      <c r="J28" s="14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19" t="s">
        <v>183</v>
      </c>
      <c r="C31" s="138"/>
      <c r="D31" s="138"/>
      <c r="E31" s="138"/>
      <c r="F31" s="138"/>
      <c r="G31" s="138"/>
      <c r="H31" s="138"/>
      <c r="I31" s="138"/>
      <c r="J31" s="14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77"/>
      <c r="C32" s="136"/>
      <c r="D32" s="136"/>
      <c r="E32" s="136"/>
      <c r="F32" s="136"/>
      <c r="G32" s="136"/>
      <c r="H32" s="136"/>
      <c r="I32" s="136"/>
      <c r="J32" s="13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81"/>
      <c r="C33" s="148"/>
      <c r="D33" s="148"/>
      <c r="E33" s="148"/>
      <c r="F33" s="148"/>
      <c r="G33" s="148"/>
      <c r="H33" s="148"/>
      <c r="I33" s="148"/>
      <c r="J33" s="14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77"/>
      <c r="C34" s="136"/>
      <c r="D34" s="136"/>
      <c r="E34" s="136"/>
      <c r="F34" s="136"/>
      <c r="G34" s="136"/>
      <c r="H34" s="136"/>
      <c r="I34" s="136"/>
      <c r="J34" s="13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81"/>
      <c r="C35" s="148"/>
      <c r="D35" s="148"/>
      <c r="E35" s="148"/>
      <c r="F35" s="148"/>
      <c r="G35" s="148"/>
      <c r="H35" s="148"/>
      <c r="I35" s="148"/>
      <c r="J35" s="14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96"/>
      <c r="C36" s="136"/>
      <c r="D36" s="136"/>
      <c r="E36" s="136"/>
      <c r="F36" s="136"/>
      <c r="G36" s="136"/>
      <c r="H36" s="136"/>
      <c r="I36" s="136"/>
      <c r="J36" s="13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19" t="s">
        <v>184</v>
      </c>
      <c r="C37" s="138"/>
      <c r="D37" s="138"/>
      <c r="E37" s="138"/>
      <c r="F37" s="138"/>
      <c r="G37" s="138"/>
      <c r="H37" s="138"/>
      <c r="I37" s="138"/>
      <c r="J37" s="14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28" t="s">
        <v>185</v>
      </c>
      <c r="C39" s="128" t="s">
        <v>186</v>
      </c>
      <c r="D39" s="128" t="s">
        <v>187</v>
      </c>
      <c r="E39" s="128" t="s">
        <v>188</v>
      </c>
      <c r="F39" s="128" t="s">
        <v>189</v>
      </c>
      <c r="G39" s="220" t="s">
        <v>190</v>
      </c>
      <c r="H39" s="154"/>
      <c r="I39" s="154"/>
      <c r="J39" s="16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6"/>
      <c r="C40" s="26"/>
      <c r="D40" s="26"/>
      <c r="E40" s="26"/>
      <c r="F40" s="26"/>
      <c r="G40" s="229"/>
      <c r="H40" s="222"/>
      <c r="I40" s="222"/>
      <c r="J40" s="2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0"/>
      <c r="C41" s="10"/>
      <c r="D41" s="10"/>
      <c r="E41" s="10"/>
      <c r="F41" s="10"/>
      <c r="G41" s="198"/>
      <c r="H41" s="148"/>
      <c r="I41" s="148"/>
      <c r="J41" s="14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96"/>
      <c r="H42" s="136"/>
      <c r="I42" s="136"/>
      <c r="J42" s="13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0"/>
      <c r="C43" s="10"/>
      <c r="D43" s="10"/>
      <c r="E43" s="10"/>
      <c r="F43" s="10"/>
      <c r="G43" s="198"/>
      <c r="H43" s="148"/>
      <c r="I43" s="148"/>
      <c r="J43" s="14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G39:J39"/>
    <mergeCell ref="G40:J40"/>
    <mergeCell ref="G41:J41"/>
    <mergeCell ref="G42:J42"/>
    <mergeCell ref="G43:J43"/>
    <mergeCell ref="B21:J21"/>
    <mergeCell ref="C22:J22"/>
    <mergeCell ref="C23:J23"/>
    <mergeCell ref="B26:J26"/>
    <mergeCell ref="B37:J37"/>
    <mergeCell ref="B28:J28"/>
    <mergeCell ref="B31:J31"/>
    <mergeCell ref="B32:J32"/>
    <mergeCell ref="B33:J33"/>
    <mergeCell ref="B34:J34"/>
    <mergeCell ref="B35:J35"/>
    <mergeCell ref="B36:J36"/>
    <mergeCell ref="C13:J13"/>
    <mergeCell ref="C14:J14"/>
    <mergeCell ref="C16:J16"/>
    <mergeCell ref="C17:J17"/>
    <mergeCell ref="C18:J18"/>
    <mergeCell ref="B5:J5"/>
    <mergeCell ref="E7:J7"/>
    <mergeCell ref="E8:J8"/>
    <mergeCell ref="E9:J9"/>
    <mergeCell ref="B12:J12"/>
  </mergeCells>
  <pageMargins left="0.25" right="0.25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Check List</vt:lpstr>
      <vt:lpstr>Infromacion General </vt:lpstr>
      <vt:lpstr>Flujos</vt:lpstr>
      <vt:lpstr>Estados Financieros</vt:lpstr>
      <vt:lpstr>Hoja1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Alejandro Gonzalez</cp:lastModifiedBy>
  <dcterms:created xsi:type="dcterms:W3CDTF">2021-01-14T23:52:51Z</dcterms:created>
  <dcterms:modified xsi:type="dcterms:W3CDTF">2026-03-03T23:23:18Z</dcterms:modified>
</cp:coreProperties>
</file>